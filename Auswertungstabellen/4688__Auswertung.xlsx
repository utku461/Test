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ku Balkan\Documents\Masterarbeit\Ergebnisauswertung\"/>
    </mc:Choice>
  </mc:AlternateContent>
  <xr:revisionPtr revIDLastSave="0" documentId="13_ncr:1_{A2F9440B-91FC-4C4D-A12B-AEE1412E9810}" xr6:coauthVersionLast="47" xr6:coauthVersionMax="47" xr10:uidLastSave="{00000000-0000-0000-0000-000000000000}"/>
  <bookViews>
    <workbookView xWindow="-120" yWindow="-120" windowWidth="29040" windowHeight="15720" xr2:uid="{00000000-000D-0000-FFFF-FFFF00000000}"/>
  </bookViews>
  <sheets>
    <sheet name="Rohdaten" sheetId="1" r:id="rId1"/>
    <sheet name="Run-Level bewertet" sheetId="2" r:id="rId2"/>
    <sheet name="Aggregier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3" l="1"/>
  <c r="D24" i="3"/>
  <c r="J23" i="3"/>
  <c r="H23" i="3"/>
  <c r="G23" i="3"/>
  <c r="E23" i="3"/>
  <c r="D23" i="3"/>
  <c r="I23" i="3" s="1"/>
  <c r="D22" i="3"/>
  <c r="G22" i="3" s="1"/>
  <c r="H21" i="3"/>
  <c r="D21" i="3"/>
  <c r="D20" i="3"/>
  <c r="J20" i="3" s="1"/>
  <c r="D19" i="3"/>
  <c r="E18" i="3"/>
  <c r="D18" i="3"/>
  <c r="D17" i="3"/>
  <c r="J17" i="3" s="1"/>
  <c r="H16" i="3"/>
  <c r="F16" i="3"/>
  <c r="E16" i="3"/>
  <c r="D16" i="3"/>
  <c r="G16" i="3" s="1"/>
  <c r="H15" i="3"/>
  <c r="E15" i="3"/>
  <c r="D15" i="3"/>
  <c r="G15" i="3" s="1"/>
  <c r="I14" i="3"/>
  <c r="H14" i="3"/>
  <c r="D14" i="3"/>
  <c r="J14" i="3" s="1"/>
  <c r="I13" i="3"/>
  <c r="H13" i="3"/>
  <c r="E13" i="3"/>
  <c r="D13" i="3"/>
  <c r="E12" i="3"/>
  <c r="D12" i="3"/>
  <c r="H12" i="3" s="1"/>
  <c r="I11" i="3"/>
  <c r="H11" i="3"/>
  <c r="F11" i="3"/>
  <c r="E11" i="3"/>
  <c r="D11" i="3"/>
  <c r="J11" i="3" s="1"/>
  <c r="D10" i="3"/>
  <c r="G9" i="3"/>
  <c r="D9" i="3"/>
  <c r="H9" i="3" s="1"/>
  <c r="I8" i="3"/>
  <c r="H8" i="3"/>
  <c r="F8" i="3"/>
  <c r="E8" i="3"/>
  <c r="D8" i="3"/>
  <c r="G8" i="3" s="1"/>
  <c r="F7" i="3"/>
  <c r="E7" i="3"/>
  <c r="J7" i="3" s="1"/>
  <c r="D7" i="3"/>
  <c r="G7" i="3" s="1"/>
  <c r="D6" i="3"/>
  <c r="H6" i="3" s="1"/>
  <c r="J5" i="3"/>
  <c r="F5" i="3"/>
  <c r="E5" i="3"/>
  <c r="D5" i="3"/>
  <c r="I5" i="3" s="1"/>
  <c r="D4" i="3"/>
  <c r="H4" i="3" s="1"/>
  <c r="D3" i="3"/>
  <c r="E3" i="3" s="1"/>
  <c r="J2" i="3"/>
  <c r="H2" i="3"/>
  <c r="G2" i="3"/>
  <c r="E2" i="3"/>
  <c r="D2" i="3"/>
  <c r="I2" i="3" s="1"/>
  <c r="L73" i="2"/>
  <c r="K73" i="2"/>
  <c r="J73" i="2"/>
  <c r="I73" i="2"/>
  <c r="H73" i="2"/>
  <c r="L72" i="2"/>
  <c r="K72" i="2"/>
  <c r="J72" i="2"/>
  <c r="I72" i="2"/>
  <c r="H72" i="2"/>
  <c r="L71" i="2"/>
  <c r="K71" i="2"/>
  <c r="J71" i="2"/>
  <c r="I71" i="2"/>
  <c r="H71" i="2"/>
  <c r="L70" i="2"/>
  <c r="K70" i="2"/>
  <c r="J70" i="2"/>
  <c r="I70" i="2"/>
  <c r="H70" i="2"/>
  <c r="L69" i="2"/>
  <c r="K69" i="2"/>
  <c r="J69" i="2"/>
  <c r="I69" i="2"/>
  <c r="H69" i="2"/>
  <c r="L68" i="2"/>
  <c r="K68" i="2"/>
  <c r="J68" i="2"/>
  <c r="I68" i="2"/>
  <c r="H68" i="2"/>
  <c r="L67" i="2"/>
  <c r="K67" i="2"/>
  <c r="J67" i="2"/>
  <c r="I67" i="2"/>
  <c r="H67" i="2"/>
  <c r="L66" i="2"/>
  <c r="K66" i="2"/>
  <c r="J66" i="2"/>
  <c r="I66" i="2"/>
  <c r="H66" i="2"/>
  <c r="L65" i="2"/>
  <c r="K65" i="2"/>
  <c r="J65" i="2"/>
  <c r="I65" i="2"/>
  <c r="H65" i="2"/>
  <c r="L64" i="2"/>
  <c r="K64" i="2"/>
  <c r="J64" i="2"/>
  <c r="I64" i="2"/>
  <c r="H64" i="2"/>
  <c r="L63" i="2"/>
  <c r="K63" i="2"/>
  <c r="J63" i="2"/>
  <c r="I63" i="2"/>
  <c r="H63" i="2"/>
  <c r="L62" i="2"/>
  <c r="K62" i="2"/>
  <c r="J62" i="2"/>
  <c r="I62" i="2"/>
  <c r="H62" i="2"/>
  <c r="L61" i="2"/>
  <c r="K61" i="2"/>
  <c r="J61" i="2"/>
  <c r="I61" i="2"/>
  <c r="H61" i="2"/>
  <c r="L60" i="2"/>
  <c r="K60" i="2"/>
  <c r="J60" i="2"/>
  <c r="I60" i="2"/>
  <c r="H60" i="2"/>
  <c r="L59" i="2"/>
  <c r="K59" i="2"/>
  <c r="J59" i="2"/>
  <c r="I59" i="2"/>
  <c r="H59" i="2"/>
  <c r="L58" i="2"/>
  <c r="K58" i="2"/>
  <c r="J58" i="2"/>
  <c r="I58" i="2"/>
  <c r="H58" i="2"/>
  <c r="L57" i="2"/>
  <c r="K57" i="2"/>
  <c r="J57" i="2"/>
  <c r="I57" i="2"/>
  <c r="H57" i="2"/>
  <c r="L56" i="2"/>
  <c r="K56" i="2"/>
  <c r="J56" i="2"/>
  <c r="I56" i="2"/>
  <c r="H56" i="2"/>
  <c r="L55" i="2"/>
  <c r="K55" i="2"/>
  <c r="J55" i="2"/>
  <c r="I55" i="2"/>
  <c r="H55" i="2"/>
  <c r="L54" i="2"/>
  <c r="K54" i="2"/>
  <c r="J54" i="2"/>
  <c r="I54" i="2"/>
  <c r="H54" i="2"/>
  <c r="L53" i="2"/>
  <c r="K53" i="2"/>
  <c r="J53" i="2"/>
  <c r="I53" i="2"/>
  <c r="H53" i="2"/>
  <c r="L52" i="2"/>
  <c r="K52" i="2"/>
  <c r="J52" i="2"/>
  <c r="I52" i="2"/>
  <c r="H52" i="2"/>
  <c r="L51" i="2"/>
  <c r="K51" i="2"/>
  <c r="J51" i="2"/>
  <c r="I51" i="2"/>
  <c r="H51" i="2"/>
  <c r="L50" i="2"/>
  <c r="K50" i="2"/>
  <c r="J50" i="2"/>
  <c r="I50" i="2"/>
  <c r="H50" i="2"/>
  <c r="L49" i="2"/>
  <c r="K49" i="2"/>
  <c r="J49" i="2"/>
  <c r="I49" i="2"/>
  <c r="H49" i="2"/>
  <c r="L48" i="2"/>
  <c r="K48" i="2"/>
  <c r="J48" i="2"/>
  <c r="I48" i="2"/>
  <c r="H48" i="2"/>
  <c r="L47" i="2"/>
  <c r="K47" i="2"/>
  <c r="J47" i="2"/>
  <c r="I47" i="2"/>
  <c r="H47" i="2"/>
  <c r="L46" i="2"/>
  <c r="K46" i="2"/>
  <c r="J46" i="2"/>
  <c r="I46" i="2"/>
  <c r="H46" i="2"/>
  <c r="L45" i="2"/>
  <c r="K45" i="2"/>
  <c r="J45" i="2"/>
  <c r="I45" i="2"/>
  <c r="H45" i="2"/>
  <c r="L44" i="2"/>
  <c r="I16" i="3" s="1"/>
  <c r="K44" i="2"/>
  <c r="J44" i="2"/>
  <c r="I44" i="2"/>
  <c r="H44" i="2"/>
  <c r="L43" i="2"/>
  <c r="K43" i="2"/>
  <c r="J43" i="2"/>
  <c r="I43" i="2"/>
  <c r="H43" i="2"/>
  <c r="L42" i="2"/>
  <c r="K42" i="2"/>
  <c r="J42" i="2"/>
  <c r="I42" i="2"/>
  <c r="H42" i="2"/>
  <c r="L41" i="2"/>
  <c r="K41" i="2"/>
  <c r="J41" i="2"/>
  <c r="I41" i="2"/>
  <c r="H41" i="2"/>
  <c r="L40" i="2"/>
  <c r="K40" i="2"/>
  <c r="J40" i="2"/>
  <c r="I40" i="2"/>
  <c r="H40" i="2"/>
  <c r="L39" i="2"/>
  <c r="K39" i="2"/>
  <c r="J39" i="2"/>
  <c r="I39" i="2"/>
  <c r="H39" i="2"/>
  <c r="L38" i="2"/>
  <c r="K38" i="2"/>
  <c r="J38" i="2"/>
  <c r="I38" i="2"/>
  <c r="H38" i="2"/>
  <c r="L37" i="2"/>
  <c r="K37" i="2"/>
  <c r="J37" i="2"/>
  <c r="I37" i="2"/>
  <c r="H37" i="2"/>
  <c r="L36" i="2"/>
  <c r="K36" i="2"/>
  <c r="J36" i="2"/>
  <c r="I36" i="2"/>
  <c r="H36" i="2"/>
  <c r="L35" i="2"/>
  <c r="K35" i="2"/>
  <c r="J35" i="2"/>
  <c r="G13" i="3" s="1"/>
  <c r="I35" i="2"/>
  <c r="F13" i="3" s="1"/>
  <c r="H35" i="2"/>
  <c r="L34" i="2"/>
  <c r="I12" i="3" s="1"/>
  <c r="K34" i="2"/>
  <c r="J34" i="2"/>
  <c r="I34" i="2"/>
  <c r="H34" i="2"/>
  <c r="L33" i="2"/>
  <c r="K33" i="2"/>
  <c r="J33" i="2"/>
  <c r="I33" i="2"/>
  <c r="H33" i="2"/>
  <c r="L32" i="2"/>
  <c r="K32" i="2"/>
  <c r="J32" i="2"/>
  <c r="I32" i="2"/>
  <c r="H32" i="2"/>
  <c r="L31" i="2"/>
  <c r="K31" i="2"/>
  <c r="J31" i="2"/>
  <c r="I31" i="2"/>
  <c r="H31" i="2"/>
  <c r="L30" i="2"/>
  <c r="K30" i="2"/>
  <c r="J30" i="2"/>
  <c r="I30" i="2"/>
  <c r="H30" i="2"/>
  <c r="L29" i="2"/>
  <c r="K29" i="2"/>
  <c r="J29" i="2"/>
  <c r="I29" i="2"/>
  <c r="H29" i="2"/>
  <c r="L28" i="2"/>
  <c r="K28" i="2"/>
  <c r="J28" i="2"/>
  <c r="I28" i="2"/>
  <c r="H28" i="2"/>
  <c r="L27" i="2"/>
  <c r="K27" i="2"/>
  <c r="J27" i="2"/>
  <c r="I27" i="2"/>
  <c r="H27" i="2"/>
  <c r="L26" i="2"/>
  <c r="K26" i="2"/>
  <c r="J26" i="2"/>
  <c r="I26" i="2"/>
  <c r="H26" i="2"/>
  <c r="L25" i="2"/>
  <c r="I9" i="3" s="1"/>
  <c r="K25" i="2"/>
  <c r="J25" i="2"/>
  <c r="I25" i="2"/>
  <c r="F9" i="3" s="1"/>
  <c r="H25" i="2"/>
  <c r="L24" i="2"/>
  <c r="K24" i="2"/>
  <c r="J24" i="2"/>
  <c r="I24" i="2"/>
  <c r="H24" i="2"/>
  <c r="L23" i="2"/>
  <c r="K23" i="2"/>
  <c r="J23" i="2"/>
  <c r="I23" i="2"/>
  <c r="H23" i="2"/>
  <c r="L22" i="2"/>
  <c r="K22" i="2"/>
  <c r="J22" i="2"/>
  <c r="I22" i="2"/>
  <c r="H22" i="2"/>
  <c r="L21" i="2"/>
  <c r="K21" i="2"/>
  <c r="J21" i="2"/>
  <c r="I21" i="2"/>
  <c r="H21" i="2"/>
  <c r="L20" i="2"/>
  <c r="K20" i="2"/>
  <c r="J20" i="2"/>
  <c r="I20" i="2"/>
  <c r="H20" i="2"/>
  <c r="L19" i="2"/>
  <c r="K19" i="2"/>
  <c r="J19" i="2"/>
  <c r="I19" i="2"/>
  <c r="H19" i="2"/>
  <c r="L18" i="2"/>
  <c r="K18" i="2"/>
  <c r="J18" i="2"/>
  <c r="I18" i="2"/>
  <c r="H18" i="2"/>
  <c r="L17" i="2"/>
  <c r="I7" i="3" s="1"/>
  <c r="K17" i="2"/>
  <c r="H7" i="3" s="1"/>
  <c r="J17" i="2"/>
  <c r="I17" i="2"/>
  <c r="H17" i="2"/>
  <c r="L16" i="2"/>
  <c r="K16" i="2"/>
  <c r="J16" i="2"/>
  <c r="I16" i="2"/>
  <c r="F6" i="3" s="1"/>
  <c r="H16" i="2"/>
  <c r="L15" i="2"/>
  <c r="K15" i="2"/>
  <c r="J15" i="2"/>
  <c r="I15" i="2"/>
  <c r="H15" i="2"/>
  <c r="L14" i="2"/>
  <c r="K14" i="2"/>
  <c r="J14" i="2"/>
  <c r="I14" i="2"/>
  <c r="H14" i="2"/>
  <c r="L13" i="2"/>
  <c r="K13" i="2"/>
  <c r="J13" i="2"/>
  <c r="I13" i="2"/>
  <c r="H13" i="2"/>
  <c r="L12" i="2"/>
  <c r="K12" i="2"/>
  <c r="J12" i="2"/>
  <c r="I12" i="2"/>
  <c r="H12" i="2"/>
  <c r="L11" i="2"/>
  <c r="K11" i="2"/>
  <c r="J11" i="2"/>
  <c r="I11" i="2"/>
  <c r="H11" i="2"/>
  <c r="L10" i="2"/>
  <c r="I4" i="3" s="1"/>
  <c r="K10" i="2"/>
  <c r="J10" i="2"/>
  <c r="I10" i="2"/>
  <c r="H10" i="2"/>
  <c r="L9" i="2"/>
  <c r="K9" i="2"/>
  <c r="J9" i="2"/>
  <c r="I9" i="2"/>
  <c r="H9" i="2"/>
  <c r="L8" i="2"/>
  <c r="K8" i="2"/>
  <c r="J8" i="2"/>
  <c r="G4" i="3" s="1"/>
  <c r="I8" i="2"/>
  <c r="F4" i="3" s="1"/>
  <c r="H8" i="2"/>
  <c r="E4" i="3" s="1"/>
  <c r="L7" i="2"/>
  <c r="K7" i="2"/>
  <c r="J7" i="2"/>
  <c r="I7" i="2"/>
  <c r="H7" i="2"/>
  <c r="L6" i="2"/>
  <c r="K6" i="2"/>
  <c r="J6" i="2"/>
  <c r="I6" i="2"/>
  <c r="H6" i="2"/>
  <c r="L5" i="2"/>
  <c r="K5" i="2"/>
  <c r="J5" i="2"/>
  <c r="I5" i="2"/>
  <c r="H5" i="2"/>
  <c r="L4" i="2"/>
  <c r="K4" i="2"/>
  <c r="J4" i="2"/>
  <c r="I4" i="2"/>
  <c r="H4" i="2"/>
  <c r="L3" i="2"/>
  <c r="K3" i="2"/>
  <c r="J3" i="2"/>
  <c r="I3" i="2"/>
  <c r="H3" i="2"/>
  <c r="L2" i="2"/>
  <c r="K2" i="2"/>
  <c r="J2" i="2"/>
  <c r="I2" i="2"/>
  <c r="H2" i="2"/>
  <c r="J13" i="3" l="1"/>
  <c r="J4" i="3"/>
  <c r="J16" i="3"/>
  <c r="G5" i="3"/>
  <c r="J8" i="3"/>
  <c r="F12" i="3"/>
  <c r="J12" i="3" s="1"/>
  <c r="I15" i="3"/>
  <c r="E19" i="3"/>
  <c r="J19" i="3" s="1"/>
  <c r="H22" i="3"/>
  <c r="H5" i="3"/>
  <c r="G12" i="3"/>
  <c r="F19" i="3"/>
  <c r="I22" i="3"/>
  <c r="F2" i="3"/>
  <c r="E9" i="3"/>
  <c r="J9" i="3" s="1"/>
  <c r="G19" i="3"/>
  <c r="H19" i="3"/>
  <c r="I19" i="3"/>
  <c r="E6" i="3"/>
  <c r="J6" i="3" s="1"/>
  <c r="F23" i="3"/>
  <c r="G6" i="3"/>
  <c r="E20" i="3"/>
  <c r="F20" i="3"/>
  <c r="F3" i="3"/>
  <c r="J3" i="3" s="1"/>
  <c r="I6" i="3"/>
  <c r="G20" i="3"/>
  <c r="E17" i="3"/>
  <c r="H20" i="3"/>
  <c r="H3" i="3"/>
  <c r="G10" i="3"/>
  <c r="F17" i="3"/>
  <c r="I20" i="3"/>
  <c r="E24" i="3"/>
  <c r="J24" i="3" s="1"/>
  <c r="H10" i="3"/>
  <c r="G17" i="3"/>
  <c r="F24" i="3"/>
  <c r="I10" i="3"/>
  <c r="E14" i="3"/>
  <c r="H17" i="3"/>
  <c r="G24" i="3"/>
  <c r="E10" i="3"/>
  <c r="J10" i="3" s="1"/>
  <c r="G3" i="3"/>
  <c r="F10" i="3"/>
  <c r="I3" i="3"/>
  <c r="F14" i="3"/>
  <c r="I17" i="3"/>
  <c r="E21" i="3"/>
  <c r="J21" i="3" s="1"/>
  <c r="H24" i="3"/>
  <c r="G14" i="3"/>
  <c r="F21" i="3"/>
  <c r="I24" i="3"/>
  <c r="G21" i="3"/>
  <c r="G11" i="3"/>
  <c r="F18" i="3"/>
  <c r="J18" i="3" s="1"/>
  <c r="I21" i="3"/>
  <c r="E25" i="3"/>
  <c r="J25" i="3" s="1"/>
  <c r="G18" i="3"/>
  <c r="F25" i="3"/>
  <c r="H18" i="3"/>
  <c r="G25" i="3"/>
  <c r="F15" i="3"/>
  <c r="J15" i="3" s="1"/>
  <c r="I18" i="3"/>
  <c r="E22" i="3"/>
  <c r="J22" i="3" s="1"/>
  <c r="H25" i="3"/>
  <c r="F22" i="3"/>
  <c r="I25" i="3"/>
</calcChain>
</file>

<file path=xl/sharedStrings.xml><?xml version="1.0" encoding="utf-8"?>
<sst xmlns="http://schemas.openxmlformats.org/spreadsheetml/2006/main" count="1268" uniqueCount="350">
  <si>
    <t>RunID</t>
  </si>
  <si>
    <t>EventFound</t>
  </si>
  <si>
    <t>TimeCreated</t>
  </si>
  <si>
    <t>NewProcessName</t>
  </si>
  <si>
    <t>AccountName</t>
  </si>
  <si>
    <t>CreatorProcessName</t>
  </si>
  <si>
    <t>ProcessCommandLine</t>
  </si>
  <si>
    <t>NewProcessId</t>
  </si>
  <si>
    <t>CreatorProcessId</t>
  </si>
  <si>
    <t>SecurityEvtx</t>
  </si>
  <si>
    <t>PS-A1-P0-R01</t>
  </si>
  <si>
    <t>-</t>
  </si>
  <si>
    <t>E:\KAPE_Runs\PS-A1-P0\PS-A1-P0-R01\KAPE\C\Windows\System32\winevt\logs\Security.evtx</t>
  </si>
  <si>
    <t>PS-A1-P0-R02</t>
  </si>
  <si>
    <t>E:\KAPE_Runs\PS-A1-P0\PS-A1-P0-R02\KAPE\C\Windows\System32\winevt\logs\Security.evtx</t>
  </si>
  <si>
    <t>PS-A1-P0-R03</t>
  </si>
  <si>
    <t>E:\KAPE_Runs\PS-A1-P0\PS-A1-P0-R03\KAPE\C\Windows\System32\winevt\logs\Security.evtx</t>
  </si>
  <si>
    <t>PS-A1-P1-R01</t>
  </si>
  <si>
    <t>21.08.2026 13:05:17</t>
  </si>
  <si>
    <t>C:\Windows\System32\WindowsPowerShell\v1.0\powershell.exe</t>
  </si>
  <si>
    <t>labadmin</t>
  </si>
  <si>
    <t>C:\Windows\System32\cmd.exe</t>
  </si>
  <si>
    <t>powershell.exe  -NoProfile -ExecutionPolicy Bypass -File "C:\Lab\TestFiles\PowerShell\A1_PowerShell.ps1"</t>
  </si>
  <si>
    <t>0x29c8</t>
  </si>
  <si>
    <t>0x16fc</t>
  </si>
  <si>
    <t>E:\KAPE_Runs\PS-A1-P1\PS-A1-P1-R01\KAPE\C\Windows\System32\winevt\logs\Security.evtx</t>
  </si>
  <si>
    <t>PS-A1-P1-R02</t>
  </si>
  <si>
    <t>21.08.2026 13:10:41</t>
  </si>
  <si>
    <t>0x23c</t>
  </si>
  <si>
    <t>0x640</t>
  </si>
  <si>
    <t>E:\KAPE_Runs\PS-A1-P1\PS-A1-P1-R02\KAPE\C\Windows\System32\winevt\logs\Security.evtx</t>
  </si>
  <si>
    <t>PS-A1-P1-R03</t>
  </si>
  <si>
    <t>21.08.2026 13:18:56</t>
  </si>
  <si>
    <t>0xd78</t>
  </si>
  <si>
    <t>0x11bc</t>
  </si>
  <si>
    <t>E:\KAPE_Runs\PS-A1-P1\PS-A1-P1-R03\KAPE\C\Windows\System32\winevt\logs\Security.evtx</t>
  </si>
  <si>
    <t>PS-A1-P2-R01</t>
  </si>
  <si>
    <t>21.08.2026 15:43:54</t>
  </si>
  <si>
    <t>0x5f0</t>
  </si>
  <si>
    <t>0x1b44</t>
  </si>
  <si>
    <t>E:\KAPE_Runs\PS-A1-P2\PS-A1-P2-R01\KAPE\C\Windows\System32\winevt\logs\Security.evtx</t>
  </si>
  <si>
    <t>PS-A1-P2-R02</t>
  </si>
  <si>
    <t>21.08.2026 15:53:44</t>
  </si>
  <si>
    <t>0x2e10</t>
  </si>
  <si>
    <t>0x15f4</t>
  </si>
  <si>
    <t>E:\KAPE_Runs\PS-A1-P2\PS-A1-P2-R02\KAPE\C\Windows\System32\winevt\logs\Security.evtx</t>
  </si>
  <si>
    <t>PS-A1-P2-R03</t>
  </si>
  <si>
    <t>21.08.2026 16:01:04</t>
  </si>
  <si>
    <t>C:\Windows\SysWOW64\WindowsPowerShell\v1.0\powershell.exe</t>
  </si>
  <si>
    <t>C:\Windows\SysWOW64\cmd.exe</t>
  </si>
  <si>
    <t>0xd34</t>
  </si>
  <si>
    <t>0x1c5c</t>
  </si>
  <si>
    <t>E:\KAPE_Runs\PS-A1-P2\PS-A1-P2-R03\KAPE\C\Windows\System32\winevt\logs\Security.evtx</t>
  </si>
  <si>
    <t>PS-A2-P0-R01</t>
  </si>
  <si>
    <t>E:\KAPE_Runs\PS-A2-P0\PS-A2-P0-R01\KAPE\C\Windows\System32\winevt\logs\Security.evtx</t>
  </si>
  <si>
    <t>PS-A2-P0-R02</t>
  </si>
  <si>
    <t>E:\KAPE_Runs\PS-A2-P0\PS-A2-P0-R02\KAPE\C\Windows\System32\winevt\logs\Security.evtx</t>
  </si>
  <si>
    <t>PS-A2-P0-R03</t>
  </si>
  <si>
    <t>E:\KAPE_Runs\PS-A2-P0\PS-A2-P0-R03\KAPE\C\Windows\System32\winevt\logs\Security.evtx</t>
  </si>
  <si>
    <t>PS-A2-P1-R01</t>
  </si>
  <si>
    <t>21.08.2026 13:23:25</t>
  </si>
  <si>
    <t>powershell.exe  -NoProfile -ExecutionPolicy Bypass -File "C:\Lab\TestFiles\PowerShell\A2_PowerShell.ps1"</t>
  </si>
  <si>
    <t>0x1244</t>
  </si>
  <si>
    <t>0x25d8</t>
  </si>
  <si>
    <t>E:\KAPE_Runs\PS-A2-P1\PS-A2-P1-R01\KAPE\C\Windows\System32\winevt\logs\Security.evtx</t>
  </si>
  <si>
    <t>PS-A2-P1-R02</t>
  </si>
  <si>
    <t>21.08.2026 13:28:56</t>
  </si>
  <si>
    <t>0x226c</t>
  </si>
  <si>
    <t>0xd2c</t>
  </si>
  <si>
    <t>E:\KAPE_Runs\PS-A2-P1\PS-A2-P1-R02\KAPE\C\Windows\System32\winevt\logs\Security.evtx</t>
  </si>
  <si>
    <t>PS-A2-P1-R03</t>
  </si>
  <si>
    <t>21.08.2026 13:33:27</t>
  </si>
  <si>
    <t>0x1bf0</t>
  </si>
  <si>
    <t>0x2180</t>
  </si>
  <si>
    <t>E:\KAPE_Runs\PS-A2-P1\PS-A2-P1-R03\KAPE\C\Windows\System32\winevt\logs\Security.evtx</t>
  </si>
  <si>
    <t>PS-A2-P2-R01</t>
  </si>
  <si>
    <t>21.08.2026 16:09:29</t>
  </si>
  <si>
    <t>0x1c68</t>
  </si>
  <si>
    <t>0x4d0</t>
  </si>
  <si>
    <t>E:\KAPE_Runs\PS-A2-P2\PS-A2-P2-R01\KAPE\C\Windows\System32\winevt\logs\Security.evtx</t>
  </si>
  <si>
    <t>PS-A2-P2-R02</t>
  </si>
  <si>
    <t>21.08.2026 16:18:15</t>
  </si>
  <si>
    <t>C:\Windows\explorer.exe</t>
  </si>
  <si>
    <t>"C:\Windows\System32\WindowsPowerShell\v1.0\powershell.exe"</t>
  </si>
  <si>
    <t>0x720</t>
  </si>
  <si>
    <t>0x1628</t>
  </si>
  <si>
    <t>E:\KAPE_Runs\PS-A2-P2\PS-A2-P2-R02\KAPE\C\Windows\System32\winevt\logs\Security.evtx</t>
  </si>
  <si>
    <t>21.08.2026 16:18:31</t>
  </si>
  <si>
    <t>0x15a8</t>
  </si>
  <si>
    <t>0x2ce8</t>
  </si>
  <si>
    <t>PS-A2-P2-R03</t>
  </si>
  <si>
    <t>21.08.2026 16:29:21</t>
  </si>
  <si>
    <t>0x2a30</t>
  </si>
  <si>
    <t>0x2a0c</t>
  </si>
  <si>
    <t>E:\KAPE_Runs\PS-A2-P2\PS-A2-P2-R03\KAPE\C\Windows\System32\winevt\logs\Security.evtx</t>
  </si>
  <si>
    <t>MSHTA-A1-P0-R01</t>
  </si>
  <si>
    <t>E:\KAPE_Runs\MSHTA-A1-P0\MSHTA-A1-P0-R01\KAPE\C\Windows\System32\winevt\logs\Security.evtx</t>
  </si>
  <si>
    <t>MSHTA-A1-P0-R02</t>
  </si>
  <si>
    <t>E:\KAPE_Runs\MSHTA-A1-P0\MSHTA-A1-P0-R02\KAPE\C\Windows\System32\winevt\logs\Security.evtx</t>
  </si>
  <si>
    <t>MSHTA-A1-P0-R03</t>
  </si>
  <si>
    <t>E:\KAPE_Runs\MSHTA-A1-P0\MSHTA-A1-P0-R03\KAPE\C\Windows\System32\winevt\logs\Security.evtx</t>
  </si>
  <si>
    <t>MSHTA-A1-P1-R01</t>
  </si>
  <si>
    <t>21.08.2026 13:38:18</t>
  </si>
  <si>
    <t>C:\Windows\System32\mshta.exe</t>
  </si>
  <si>
    <t>"C:\Windows\System32\mshta.exe"  "C:\Lab\TestFiles\Mshta\A1_Mshta.hta"</t>
  </si>
  <si>
    <t>0x620</t>
  </si>
  <si>
    <t>0x2f8</t>
  </si>
  <si>
    <t>E:\KAPE_Runs\MSHTA-A1-P1\MSHTA-A1-P1-R01\KAPE\C\Windows\System32\winevt\logs\Security.evtx</t>
  </si>
  <si>
    <t>MSHTA-A1-P1-R02</t>
  </si>
  <si>
    <t>21.08.2026 13:42:59</t>
  </si>
  <si>
    <t>0x8bc</t>
  </si>
  <si>
    <t>0x1404</t>
  </si>
  <si>
    <t>E:\KAPE_Runs\MSHTA-A1-P1\MSHTA-A1-P1-R02\KAPE\C\Windows\System32\winevt\logs\Security.evtx</t>
  </si>
  <si>
    <t>MSHTA-A1-P1-R03</t>
  </si>
  <si>
    <t>21.08.2026 13:47:40</t>
  </si>
  <si>
    <t>0x1c98</t>
  </si>
  <si>
    <t>0x2980</t>
  </si>
  <si>
    <t>E:\KAPE_Runs\MSHTA-A1-P1\MSHTA-A1-P1-R03\KAPE\C\Windows\System32\winevt\logs\Security.evtx</t>
  </si>
  <si>
    <t>MSHTA-A1-P2-R01</t>
  </si>
  <si>
    <t>21.08.2026 16:39:28</t>
  </si>
  <si>
    <t>0x2464</t>
  </si>
  <si>
    <t>0x1ca8</t>
  </si>
  <si>
    <t>E:\KAPE_Runs\MSHTA-A1-P2\MSHTA-A1-P2-R01\KAPE\C\Windows\System32\winevt\logs\Security.evtx</t>
  </si>
  <si>
    <t>MSHTA-A1-P2-R02</t>
  </si>
  <si>
    <t>21.08.2026 16:56:24</t>
  </si>
  <si>
    <t>0x2fc0</t>
  </si>
  <si>
    <t>0x2f90</t>
  </si>
  <si>
    <t>E:\KAPE_Runs\MSHTA-A1-P2\MSHTA-A1-P2-R02\KAPE\C\Windows\System32\winevt\logs\Security.evtx</t>
  </si>
  <si>
    <t>MSHTA-A1-P2-R03</t>
  </si>
  <si>
    <t>21.08.2026 17:27:40</t>
  </si>
  <si>
    <t>0x2d6c</t>
  </si>
  <si>
    <t>0x2e78</t>
  </si>
  <si>
    <t>E:\KAPE_Runs\MSHTA-A1-P2\MSHTA-A1-P2-R03\KAPE\C\Windows\System32\winevt\logs\Security.evtx</t>
  </si>
  <si>
    <t>MSHTA-A2-P0-R01</t>
  </si>
  <si>
    <t>E:\KAPE_Runs\MSHTA-A2-P0\MSHTA-A2-P0-R01\KAPE\C\Windows\System32\winevt\logs\Security.evtx</t>
  </si>
  <si>
    <t>MSHTA-A2-P0-R02</t>
  </si>
  <si>
    <t>E:\KAPE_Runs\MSHTA-A2-P0\MSHTA-A2-P0-R02\KAPE\C\Windows\System32\winevt\logs\Security.evtx</t>
  </si>
  <si>
    <t>MSHTA-A2-P0-R03</t>
  </si>
  <si>
    <t>E:\KAPE_Runs\MSHTA-A2-P0\MSHTA-A2-P0-R03\KAPE\C\Windows\System32\winevt\logs\Security.evtx</t>
  </si>
  <si>
    <t>MSHTA-A2-P1-R01</t>
  </si>
  <si>
    <t>21.08.2026 13:52:48</t>
  </si>
  <si>
    <t>"C:\Windows\System32\mshta.exe"  "C:\Lab\TestFiles\Mshta\A2_Mshta.hta"</t>
  </si>
  <si>
    <t>0x1bbc</t>
  </si>
  <si>
    <t>E:\KAPE_Runs\MSHTA-A2-P1\MSHTA-A2-P1-R01\KAPE\C\Windows\System32\winevt\logs\Security.evtx</t>
  </si>
  <si>
    <t>MSHTA-A2-P1-R02</t>
  </si>
  <si>
    <t>21.08.2026 13:59:11</t>
  </si>
  <si>
    <t>0x2a34</t>
  </si>
  <si>
    <t>E:\KAPE_Runs\MSHTA-A2-P1\MSHTA-A2-P1-R02\KAPE\C\Windows\System32\winevt\logs\Security.evtx</t>
  </si>
  <si>
    <t>MSHTA-A2-P1-R03</t>
  </si>
  <si>
    <t>21.08.2026 14:03:52</t>
  </si>
  <si>
    <t>0x27a0</t>
  </si>
  <si>
    <t>E:\KAPE_Runs\MSHTA-A2-P1\MSHTA-A2-P1-R03\KAPE\C\Windows\System32\winevt\logs\Security.evtx</t>
  </si>
  <si>
    <t>MSHTA-A2-P2-R01</t>
  </si>
  <si>
    <t>09.08.2026 13:20:23</t>
  </si>
  <si>
    <t>0x2570</t>
  </si>
  <si>
    <t>0x2c1c</t>
  </si>
  <si>
    <t>E:\KAPE_Runs\MSHTA-A2-P2\MSHTA-A2-P2-R01\KAPE\C\Windows\System32\winevt\logs\Security.evtx</t>
  </si>
  <si>
    <t>MSHTA-A2-P2-R02</t>
  </si>
  <si>
    <t>21.08.2026 17:43:01</t>
  </si>
  <si>
    <t>0x2988</t>
  </si>
  <si>
    <t>E:\KAPE_Runs\MSHTA-A2-P2\MSHTA-A2-P2-R02\KAPE\C\Windows\System32\winevt\logs\Security.evtx</t>
  </si>
  <si>
    <t>MSHTA-A2-P2-R03</t>
  </si>
  <si>
    <t>21.08.2026 17:51:31</t>
  </si>
  <si>
    <t>0x2f98</t>
  </si>
  <si>
    <t>0x2f80</t>
  </si>
  <si>
    <t>E:\KAPE_Runs\MSHTA-A2-P2\MSHTA-A2-P2-R03\KAPE\C\Windows\System32\winevt\logs\Security.evtx</t>
  </si>
  <si>
    <t>REG-A1-P0-R01</t>
  </si>
  <si>
    <t>E:\KAPE_Runs\REG-A1-P0\REG-A1-P0-R01\KAPE\C\Windows\System32\winevt\logs\Security.evtx</t>
  </si>
  <si>
    <t>REG-A1-P0-R02</t>
  </si>
  <si>
    <t>E:\KAPE_Runs\REG-A1-P0\REG-A1-P0-R02\KAPE\C\Windows\System32\winevt\logs\Security.evtx</t>
  </si>
  <si>
    <t>REG-A1-P0-R03</t>
  </si>
  <si>
    <t>E:\KAPE_Runs\REG-A1-P0\REG-A1-P0-R03\KAPE\C\Windows\System32\winevt\logs\Security.evtx</t>
  </si>
  <si>
    <t>REG-A1-P1-R01</t>
  </si>
  <si>
    <t>21.08.2026 14:10:29</t>
  </si>
  <si>
    <t>C:\Windows\System32\regsvr32.exe</t>
  </si>
  <si>
    <t>"C:\Windows\System32\regsvr32.exe"  /s /n /u /i:"C:\Lab\TestFiles\Regsvr32\A1_Regsvr32.sct" "C:\Windows\System32\scrobj.dll"</t>
  </si>
  <si>
    <t>0x2b20</t>
  </si>
  <si>
    <t>0x2604</t>
  </si>
  <si>
    <t>E:\KAPE_Runs\REG-A1-P1\REG-A1-P1-R01\KAPE\C\Windows\System32\winevt\logs\Security.evtx</t>
  </si>
  <si>
    <t>REG-A1-P1-R02</t>
  </si>
  <si>
    <t>21.08.2026 14:16:29</t>
  </si>
  <si>
    <t>0x25c0</t>
  </si>
  <si>
    <t>0x1388</t>
  </si>
  <si>
    <t>E:\KAPE_Runs\REG-A1-P1\REG-A1-P1-R02\KAPE\C\Windows\System32\winevt\logs\Security.evtx</t>
  </si>
  <si>
    <t>REG-A1-P1-R03</t>
  </si>
  <si>
    <t>21.08.2026 14:20:46</t>
  </si>
  <si>
    <t>0x1dfc</t>
  </si>
  <si>
    <t>0x9d8</t>
  </si>
  <si>
    <t>E:\KAPE_Runs\REG-A1-P1\REG-A1-P1-R03\KAPE\C\Windows\System32\winevt\logs\Security.evtx</t>
  </si>
  <si>
    <t>REG-A1-P2-R01</t>
  </si>
  <si>
    <t>21.08.2026 17:59:51</t>
  </si>
  <si>
    <t>0x2538</t>
  </si>
  <si>
    <t>0x2b8</t>
  </si>
  <si>
    <t>E:\KAPE_Runs\REG-A1-P2\REG-A1-P2-R01\KAPE\C\Windows\System32\winevt\logs\Security.evtx</t>
  </si>
  <si>
    <t>REG-A1-P2-R02</t>
  </si>
  <si>
    <t>21.08.2026 18:06:54</t>
  </si>
  <si>
    <t>0x2c34</t>
  </si>
  <si>
    <t>0x2c14</t>
  </si>
  <si>
    <t>E:\KAPE_Runs\REG-A1-P2\REG-A1-P2-R02\KAPE\C\Windows\System32\winevt\logs\Security.evtx</t>
  </si>
  <si>
    <t>REG-A1-P2-R03</t>
  </si>
  <si>
    <t>21.08.2026 18:13:24</t>
  </si>
  <si>
    <t>0x2f84</t>
  </si>
  <si>
    <t>0x2f6c</t>
  </si>
  <si>
    <t>E:\KAPE_Runs\REG-A1-P2\REG-A1-P2-R03\KAPE\C\Windows\System32\winevt\logs\Security.evtx</t>
  </si>
  <si>
    <t>REG-A2-P0-R01</t>
  </si>
  <si>
    <t>E:\KAPE_Runs\REG-A2-P0\REG-A2-P0-R01\KAPE\C\Windows\System32\winevt\logs\Security.evtx</t>
  </si>
  <si>
    <t>REG-A2-P0-R02</t>
  </si>
  <si>
    <t>E:\KAPE_Runs\REG-A2-P0\REG-A2-P0-R02\KAPE\C\Windows\System32\winevt\logs\Security.evtx</t>
  </si>
  <si>
    <t>REG-A2-P0-R03</t>
  </si>
  <si>
    <t>E:\KAPE_Runs\REG-A2-P0\REG-A2-P0-R03\KAPE\C\Windows\System32\winevt\logs\Security.evtx</t>
  </si>
  <si>
    <t>REG-A2-P1-R01</t>
  </si>
  <si>
    <t>21.08.2026 14:25:40</t>
  </si>
  <si>
    <t>"C:\Windows\System32\regsvr32.exe"  /s /n /u /i:"C:\Lab\TestFiles\Regsvr32\A2_Regsvr32.sct" "C:\Windows\System32\scrobj.dll"</t>
  </si>
  <si>
    <t>0x6d0</t>
  </si>
  <si>
    <t>0x2b44</t>
  </si>
  <si>
    <t>E:\KAPE_Runs\REG-A2-P1\REG-A2-P1-R01\KAPE\C\Windows\System32\winevt\logs\Security.evtx</t>
  </si>
  <si>
    <t>REG-A2-P1-R02</t>
  </si>
  <si>
    <t>21.08.2026 14:29:55</t>
  </si>
  <si>
    <t>0x2bac</t>
  </si>
  <si>
    <t>0x183c</t>
  </si>
  <si>
    <t>E:\KAPE_Runs\REG-A2-P1\REG-A2-P1-R02\KAPE\C\Windows\System32\winevt\logs\Security.evtx</t>
  </si>
  <si>
    <t>REG-A2-P1-R03</t>
  </si>
  <si>
    <t>21.08.2026 14:34:51</t>
  </si>
  <si>
    <t>0x282c</t>
  </si>
  <si>
    <t>0x1bb4</t>
  </si>
  <si>
    <t>E:\KAPE_Runs\REG-A2-P1\REG-A2-P1-R03\KAPE\C\Windows\System32\winevt\logs\Security.evtx</t>
  </si>
  <si>
    <t>REG-A2-P2-R01</t>
  </si>
  <si>
    <t>21.08.2026 18:22:19</t>
  </si>
  <si>
    <t>0x2c7c</t>
  </si>
  <si>
    <t>0x2ffc</t>
  </si>
  <si>
    <t>E:\KAPE_Runs\REG-A2-P2\REG-A2-P2-R01\KAPE\C\Windows\System32\winevt\logs\Security.evtx</t>
  </si>
  <si>
    <t>REG-A2-P2-R02</t>
  </si>
  <si>
    <t>21.08.2026 18:29:21</t>
  </si>
  <si>
    <t>0x1a5c</t>
  </si>
  <si>
    <t>0x1af0</t>
  </si>
  <si>
    <t>E:\KAPE_Runs\REG-A2-P2\REG-A2-P2-R02\KAPE\C\Windows\System32\winevt\logs\Security.evtx</t>
  </si>
  <si>
    <t>REG-A2-P2-R03</t>
  </si>
  <si>
    <t>21.08.2026 18:36:02</t>
  </si>
  <si>
    <t>0x1a48</t>
  </si>
  <si>
    <t>0x1544</t>
  </si>
  <si>
    <t>E:\KAPE_Runs\REG-A2-P2\REG-A2-P2-R03\KAPE\C\Windows\System32\winevt\logs\Security.evtx</t>
  </si>
  <si>
    <t>CSCRIPT-A1-P0-R01</t>
  </si>
  <si>
    <t>E:\KAPE_Runs\CSCRIPT-A1-P0\CSCRIPT-A1-P0-R01\KAPE\C\Windows\System32\winevt\logs\Security.evtx</t>
  </si>
  <si>
    <t>CSCRIPT-A1-P0-R02</t>
  </si>
  <si>
    <t>E:\KAPE_Runs\CSCRIPT-A1-P0\CSCRIPT-A1-P0-R02\KAPE\C\Windows\System32\winevt\logs\Security.evtx</t>
  </si>
  <si>
    <t>CSCRIPT-A1-P0-R03</t>
  </si>
  <si>
    <t>E:\KAPE_Runs\CSCRIPT-A1-P0\CSCRIPT-A1-P0-R03\KAPE\C\Windows\System32\winevt\logs\Security.evtx</t>
  </si>
  <si>
    <t>CSCRIPT-A1-P1-R01</t>
  </si>
  <si>
    <t>21.08.2026 14:40:20</t>
  </si>
  <si>
    <t>C:\Windows\System32\cscript.exe</t>
  </si>
  <si>
    <t>"C:\Windows\System32\cscript.exe"  //E:JScript //B //NoLogo "C:\Lab\TestFiles\Cscript\A1_Cscript.js"</t>
  </si>
  <si>
    <t>0x1e38</t>
  </si>
  <si>
    <t>0xe5c</t>
  </si>
  <si>
    <t>E:\KAPE_Runs\CSCRIPT-A1-P1\CSCRIPT-A1-P1-R01\KAPE\C\Windows\System32\winevt\logs\Security.evtx</t>
  </si>
  <si>
    <t>CSCRIPT-A1-P1-R02</t>
  </si>
  <si>
    <t>21.08.2026 14:45:19</t>
  </si>
  <si>
    <t>0x1410</t>
  </si>
  <si>
    <t>0x1504</t>
  </si>
  <si>
    <t>E:\KAPE_Runs\CSCRIPT-A1-P1\CSCRIPT-A1-P1-R02\KAPE\C\Windows\System32\winevt\logs\Security.evtx</t>
  </si>
  <si>
    <t>CSCRIPT-A1-P1-R03</t>
  </si>
  <si>
    <t>21.08.2026 14:50:00</t>
  </si>
  <si>
    <t>0x2998</t>
  </si>
  <si>
    <t>0x960</t>
  </si>
  <si>
    <t>E:\KAPE_Runs\CSCRIPT-A1-P1\CSCRIPT-A1-P1-R03\KAPE\C\Windows\System32\winevt\logs\Security.evtx</t>
  </si>
  <si>
    <t>CSCRIPT-A1-P2-R01</t>
  </si>
  <si>
    <t>21.08.2026 18:53:28</t>
  </si>
  <si>
    <t>0x2ee0</t>
  </si>
  <si>
    <t>0x2ec8</t>
  </si>
  <si>
    <t>E:\KAPE_Runs\CSCRIPT-A1-P2\CSCRIPT-A1-P2-R01\KAPE\C\Windows\System32\winevt\logs\Security.evtx</t>
  </si>
  <si>
    <t>CSCRIPT-A1-P2-R02</t>
  </si>
  <si>
    <t>21.08.2026 19:01:51</t>
  </si>
  <si>
    <t>0x2fbc</t>
  </si>
  <si>
    <t>0x2fa4</t>
  </si>
  <si>
    <t>E:\KAPE_Runs\CSCRIPT-A1-P2\CSCRIPT-A1-P2-R02\KAPE\C\Windows\System32\winevt\logs\Security.evtx</t>
  </si>
  <si>
    <t>CSCRIPT-A1-P2-R03</t>
  </si>
  <si>
    <t>21.08.2026 19:14:02</t>
  </si>
  <si>
    <t>0x2c90</t>
  </si>
  <si>
    <t>0x2c50</t>
  </si>
  <si>
    <t>E:\KAPE_Runs\CSCRIPT-A1-P2\CSCRIPT-A1-P2-R03\KAPE\C\Windows\System32\winevt\logs\Security.evtx</t>
  </si>
  <si>
    <t>CSCRIPT-A2-P0-R01</t>
  </si>
  <si>
    <t>E:\KAPE_Runs\CSCRIPT-A2-P0\CSCRIPT-A2-P0-R01\KAPE\C\Windows\System32\winevt\logs\Security.evtx</t>
  </si>
  <si>
    <t>CSCRIPT-A2-P0-R02</t>
  </si>
  <si>
    <t>E:\KAPE_Runs\CSCRIPT-A2-P0\CSCRIPT-A2-P0-R02\KAPE\C\Windows\System32\winevt\logs\Security.evtx</t>
  </si>
  <si>
    <t>CSCRIPT-A2-P0-R03</t>
  </si>
  <si>
    <t>E:\KAPE_Runs\CSCRIPT-A2-P0\CSCRIPT-A2-P0-R03\KAPE\C\Windows\System32\winevt\logs\Security.evtx</t>
  </si>
  <si>
    <t>CSCRIPT-A2-P1-R01</t>
  </si>
  <si>
    <t>21.08.2026 14:57:18</t>
  </si>
  <si>
    <t>"C:\Windows\System32\cscript.exe"  //E:JScript //B //NoLogo "C:\Lab\TestFiles\Cscript\A2_Cscript.js"</t>
  </si>
  <si>
    <t>0x1754</t>
  </si>
  <si>
    <t>0x2370</t>
  </si>
  <si>
    <t>E:\KAPE_Runs\CSCRIPT-A2-P1\CSCRIPT-A2-P1-R01\KAPE\C\Windows\System32\winevt\logs\Security.evtx</t>
  </si>
  <si>
    <t>CSCRIPT-A2-P1-R02</t>
  </si>
  <si>
    <t>21.08.2026 15:01:54</t>
  </si>
  <si>
    <t>0x1034</t>
  </si>
  <si>
    <t>E:\KAPE_Runs\CSCRIPT-A2-P1\CSCRIPT-A2-P1-R02\KAPE\C\Windows\System32\winevt\logs\Security.evtx</t>
  </si>
  <si>
    <t>CSCRIPT-A2-P1-R03</t>
  </si>
  <si>
    <t>21.08.2026 15:08:06</t>
  </si>
  <si>
    <t>0x2950</t>
  </si>
  <si>
    <t>0x1aec</t>
  </si>
  <si>
    <t>E:\KAPE_Runs\CSCRIPT-A2-P1\CSCRIPT-A2-P1-R03\KAPE\C\Windows\System32\winevt\logs\Security.evtx</t>
  </si>
  <si>
    <t>CSCRIPT-A2-P2-R01</t>
  </si>
  <si>
    <t>21.08.2026 19:21:26</t>
  </si>
  <si>
    <t>0x2f48</t>
  </si>
  <si>
    <t>0x2f30</t>
  </si>
  <si>
    <t>E:\KAPE_Runs\CSCRIPT-A2-P2\CSCRIPT-A2-P2-R01\KAPE\C\Windows\System32\winevt\logs\Security.evtx</t>
  </si>
  <si>
    <t>CSCRIPT-A2-P2-R02</t>
  </si>
  <si>
    <t>21.08.2026 19:30:51</t>
  </si>
  <si>
    <t>0x1fc8</t>
  </si>
  <si>
    <t>E:\KAPE_Runs\CSCRIPT-A2-P2\CSCRIPT-A2-P2-R02\KAPE\C\Windows\System32\winevt\logs\Security.evtx</t>
  </si>
  <si>
    <t>CSCRIPT-A2-P2-R03</t>
  </si>
  <si>
    <t>21.08.2026 19:38:13</t>
  </si>
  <si>
    <t>0x1148</t>
  </si>
  <si>
    <t>0x1c90</t>
  </si>
  <si>
    <t>E:\KAPE_Runs\CSCRIPT-A2-P2\CSCRIPT-A2-P2-R03\KAPE\C\Windows\System32\winevt\logs\Security.evtx</t>
  </si>
  <si>
    <t>Run-ID</t>
  </si>
  <si>
    <t>Eventzeit</t>
  </si>
  <si>
    <t>New Process Name</t>
  </si>
  <si>
    <t>Account Name</t>
  </si>
  <si>
    <t>Creator Process Name</t>
  </si>
  <si>
    <t>Process Command Line</t>
  </si>
  <si>
    <t>Nachweis</t>
  </si>
  <si>
    <t>K</t>
  </si>
  <si>
    <t>T</t>
  </si>
  <si>
    <t>U</t>
  </si>
  <si>
    <t>A</t>
  </si>
  <si>
    <t>H</t>
  </si>
  <si>
    <t>Kurzbegründung</t>
  </si>
  <si>
    <t xml:space="preserve"> C:\Windows\System32\cscript.exe</t>
  </si>
  <si>
    <t>Komponente</t>
  </si>
  <si>
    <t>Aktionsklasse</t>
  </si>
  <si>
    <t>Logging-Profil</t>
  </si>
  <si>
    <t>DR</t>
  </si>
  <si>
    <t>Matrixzelle</t>
  </si>
  <si>
    <t>PowerShell</t>
  </si>
  <si>
    <t>A1</t>
  </si>
  <si>
    <t>P0</t>
  </si>
  <si>
    <t>P1</t>
  </si>
  <si>
    <t>P2</t>
  </si>
  <si>
    <t>A2</t>
  </si>
  <si>
    <t>Mshta</t>
  </si>
  <si>
    <t>Regsvr32</t>
  </si>
  <si>
    <t>Cscript</t>
  </si>
  <si>
    <t>Security.evtx vorhanden; kein run-spezifischer 4688-Befund für powershell.exe.</t>
  </si>
  <si>
    <t>Run-spezifischer 4688-Befund. New Process Name identifiziert die Zielkomponente direkt; Eventzeit und Account Name liefern einen direkten Zeit- und Benutzerbezug. Process Command Line und Creator Process Name dokumentieren den konkreten Aufruf einschließlich der übergebenen Argumente beziehungsweise der verwendeten Skript-, HTA-, SCT- oder JS-Datei und begründen damit A2. Die in der Kommandozeile enthaltene konkrete Eingabedatei liefert außerdem einen begrenzten source-lokalen Ziel- beziehungsweise Handlungskontext (H1). Event ID 4688 dokumentiert jedoch weder die A1-Ergebnisdatei noch den in A2 ausgeführten HTTPS-Download selbst.</t>
  </si>
  <si>
    <t>Run-spezifischer 4688-Befund. New Process Name identifiziert die Zielkomponente direkt; Eventzeit und Account Name liefern einen direkten Zeit- und Benutzerbezug. Process Command Line und Creator Process Name dokumentieren den konkreten Aufruf einschließlich der übergebenen Argumente beziehungsweise der verwendeten Skript-, HTA-, SCT- oder JS-Datei und begründen damit A2. Die in der Kommandozeile enthaltene konkrete Eingabedatei liefert außerdem einen begrenzten source-lokalen Ziel- beziehungsweise Handlungskontext (H1). Event ID 4688 dokumentiert jedoch weder die A1-Ergebnisdatei noch den in A2 ausgeführten HTTPS-Download selbst. Im selben Run trat zusätzlich ein 4688-Ereignis für powershell.exe mit explorer.exe als Creator Process und ohne experimentbezogenen Scriptpfad in der Kommandozeile auf. Dieses Ereignis wurde nicht als run-spezifischer Hauptbefund verwendet; bewertet wurde der zeitlich passende cmd.exe-Aufruf mit A2_PowerShell.ps1.</t>
  </si>
  <si>
    <t>Security.evtx vorhanden; kein run-spezifischer 4688-Befund für mshta.exe.</t>
  </si>
  <si>
    <t>Security.evtx vorhanden; kein run-spezifischer 4688-Befund für regsvr32.exe.</t>
  </si>
  <si>
    <t>Security.evtx vorhanden; kein run-spezifischer 4688-Befund für cscript.exe.</t>
  </si>
  <si>
    <t>Der Aufrufkontext wird mit A2 bewertet. Process Command Line dokumentiert bei allen erfolgreichen P1- und P2-Befunden den konkreten Prozessaufruf einschließlich der übergebenen Argumente. Je nach Komponente sind darin beispielsweise der PowerShell-Scriptpfad, die HTA-Datei, die SCT-Datei mit regsvr32-Parametern oder die JScript-Datei von cscript.exe enthalten. Zusätzlich weist Creator Process Name den erzeugenden Prozess aus, in den run-spezifischen Hauptbefunden regelmäßig cmd.exe. Damit ist innerhalb derselben Artefaktquelle nachvollziehbar, wie die jeweilige Zielkomponente gestartet wurde und welches Eingabeartefakt Bestandteil des Aufrufs war.
Der Handlungskontext erhält H1. Maßgeblich ist hierbei nicht die Bedeutung der experimentell vergebenen Präfixe A1 oder A2 im Dateinamen. Stattdessen wird berücksichtigt, dass die Prozesskommandozeile die konkrete Skript-, HTA-, SCT- beziehungsweise JS-Datei nennt, die der Zielkomponente im Aufruf übergeben wird. Dadurch ist ein begrenzter source-lokaler Bezug zum Gegenstand der Ausführung vorhanden. Event ID 4688 protokolliert jedoch nur die Prozesserstellung und den Aufrufkontext. Die durch A1 erzeugte Ergebnisdatei wird darin nicht als Dateioperation dokumentiert; ebenso enthält der Befund bei A2 weder die HTTPS-Verbindung noch die heruntergeladene Datei als konkrete Netzwerk- oder Dateiaktivität. Aus dem 4688-Befund allein lässt sich daher die innerhalb des Scripts beziehungsweise der Testdatei ausgeführte Handlung nicht unmittelbar rekonstruieren. H2 wäre deshalb zu hoch, während H0 den vorhandenen konkreten Zielbezug der Kommandozeile nicht abbilden würde.
Für sämtliche erfolgreichen 4688-Befunde ergibt sich damit das Profil K2 T2 U2 A2 H1. Unter P1 und P2 liefert Event ID 4688 einen direkten Komponenten-, Zeit- und Benutzerbezug sowie einen vollständigen Aufrufkontext; die konkrete innerhalb des Testartefakts ausgeführte Datei- oder Netzwerkhandlung bleibt dagegen nur begrenzt erschließbar. Bei P0 liegt kein run-spezifischer 4688-Befund vor; diese Runs werden mit Detection = 0 geführt und K/T/U/A/H werden nicht bewertet.</t>
  </si>
  <si>
    <r>
      <rPr>
        <b/>
        <sz val="11"/>
        <rFont val="Arial"/>
        <family val="2"/>
      </rPr>
      <t>Bewertungsbegründung:</t>
    </r>
    <r>
      <rPr>
        <sz val="11"/>
        <rFont val="Arial"/>
        <family val="2"/>
      </rPr>
      <t xml:space="preserve"> Das Security Event Log ist in allen drei Logging-Profilen grundsätzlich vorhanden; für Event ID 4688 ist jedoch entscheidend, ob die Überwachung der Prozesserstellung aktiviert ist. Unter P0 konnte in keinem der 24 Experimentläufe ein run-spezifischer 4688-Befund für die jeweilige Zielkomponente festgestellt werden. Diese Läufe werden deshalb als anwendbar, aber ohne Detection bewertet und ergeben für sämtliche P0-Kombinationen 0/3 · -. Unter P1 und P2 war Process Creation Auditing aktiviert; zusätzlich wurde die Aufnahme der Prozesskommandozeile konfiguriert. In allen 48 P1- und P2-Läufen konnte die jeweilige Zielkomponente durch einen run-spezifischen 4688-Befund nachgewiesen werden. Damit ergibt sich für jede Komponenten- und Aktionsklassenkombination unter P1 und P2 eine Detection Reliability von 3/3.
Bei PS-A2-P2-R02 enthielt die Security.evtx zwei 4688-Ereignisse für powershell.exe. Ein Ereignis zeigte explorer.exe als Creator Process und enthielt als Kommandozeile lediglich den PowerShell-Pfad. Dieser Befund wurde nicht als run-spezifischer Hauptbefund verwendet. Für die Run-Level-Auswertung wurde das zeitlich passende Ereignis mit cmd.exe als Creator Process und der Kommandozeile mit A2_PowerShell.ps1 herangezogen. Dadurch bleibt die Detection-Logik auch bei mehreren Kandidaten auf den tatsächlich zum Experimentaufruf passenden Befund beschränkt.
Der Komponentenbezug erhält K2. New Process Name enthält den vollständigen Pfad des neu gestarteten Prozesses und identifiziert powershell.exe, mshta.exe, regsvr32.exe beziehungsweise cscript.exe unmittelbar als untersuchte Zielkomponente. Der Komponentenbezug ergibt sich damit aus Event ID 4688 selbst und nicht aus experimentell vergebenen Datei- oder Run-Namen.
Der Zeitbezug wird mit T2 bewertet. Jeder erfolgreiche 4688-Befund besitzt einen eigenen Ereigniszeitstempel, der dem jeweiligen Experimentlauf zeitlich zugeordnet wurde. Dadurch kann der Prozessstart innerhalb der Artefaktquelle selbst einem konkreten Run zugeordnet werden.
Der Benutzerkontext erhält U2. In den erfolgreichen Befunden ist das zugehörige Benutzerkonto direkt als labadmin angegeben. Damit liegt ein unmittelbar lesbarer Benutzerbezug vor und nicht lediglich eine SID oder ein aus einem Pfad abgeleiteter Benutzerhinweis.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</si>
</sst>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color rgb="FFFFFFFF"/>
      <name val="Carlito"/>
    </font>
    <font>
      <sz val="11"/>
      <name val="Carlito"/>
    </font>
    <font>
      <sz val="11"/>
      <name val="Arial"/>
    </font>
    <font>
      <b/>
      <sz val="11"/>
      <color rgb="FFFFFFFF"/>
      <name val="Arial"/>
    </font>
    <font>
      <b/>
      <sz val="11"/>
      <name val="Arial"/>
    </font>
    <font>
      <sz val="11"/>
      <name val="Arial"/>
      <family val="2"/>
    </font>
    <font>
      <b/>
      <sz val="11"/>
      <name val="Arial"/>
      <family val="2"/>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13">
    <xf numFmtId="0" fontId="0" fillId="0" borderId="0" xfId="0"/>
    <xf numFmtId="0" fontId="1" fillId="2" borderId="0" xfId="1" applyFont="1" applyFill="1" applyAlignment="1">
      <alignment horizontal="center" vertical="center" wrapText="1"/>
    </xf>
    <xf numFmtId="0" fontId="1" fillId="2" borderId="0" xfId="1" applyFont="1" applyFill="1" applyAlignment="1">
      <alignment horizontal="center" vertical="top" wrapText="1"/>
    </xf>
    <xf numFmtId="0" fontId="3" fillId="0" borderId="0" xfId="1" applyFont="1" applyAlignment="1">
      <alignment vertical="top" wrapText="1"/>
    </xf>
    <xf numFmtId="0" fontId="4" fillId="2" borderId="0" xfId="1" applyFont="1" applyFill="1" applyAlignment="1">
      <alignment horizontal="center" vertical="top" wrapText="1"/>
    </xf>
    <xf numFmtId="0" fontId="3" fillId="0" borderId="0" xfId="1" applyFont="1" applyAlignment="1">
      <alignment horizontal="center" vertical="top" wrapText="1"/>
    </xf>
    <xf numFmtId="0" fontId="3" fillId="0" borderId="0" xfId="1" applyFont="1" applyAlignment="1">
      <alignment wrapText="1"/>
    </xf>
    <xf numFmtId="0" fontId="3" fillId="0" borderId="0" xfId="1" applyFont="1" applyAlignment="1">
      <alignment horizontal="center" wrapText="1"/>
    </xf>
    <xf numFmtId="0" fontId="3" fillId="0" borderId="0" xfId="0" applyFont="1"/>
    <xf numFmtId="0" fontId="7"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left" vertical="top" wrapText="1"/>
    </xf>
  </cellXfs>
  <cellStyles count="2">
    <cellStyle name="Normal" xfId="1" xr:uid="{00000000-0005-0000-0000-000000000000}"/>
    <cellStyle name="Standard" xfId="0" builtinId="0"/>
  </cellStyles>
  <dxfs count="36">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ent4688Rohdaten" displayName="Event4688Rohdaten" ref="A1:J74" totalsRowShown="0" dataDxfId="24">
  <tableColumns count="10">
    <tableColumn id="1" xr3:uid="{00000000-0010-0000-0000-000001000000}" name="RunID" dataDxfId="23"/>
    <tableColumn id="2" xr3:uid="{00000000-0010-0000-0000-000002000000}" name="EventFound" dataDxfId="22"/>
    <tableColumn id="3" xr3:uid="{00000000-0010-0000-0000-000003000000}" name="TimeCreated" dataDxfId="21"/>
    <tableColumn id="4" xr3:uid="{00000000-0010-0000-0000-000004000000}" name="NewProcessName" dataDxfId="20"/>
    <tableColumn id="5" xr3:uid="{00000000-0010-0000-0000-000005000000}" name="AccountName" dataDxfId="19"/>
    <tableColumn id="6" xr3:uid="{00000000-0010-0000-0000-000006000000}" name="CreatorProcessName" dataDxfId="18"/>
    <tableColumn id="7" xr3:uid="{00000000-0010-0000-0000-000007000000}" name="ProcessCommandLine" dataDxfId="17"/>
    <tableColumn id="8" xr3:uid="{00000000-0010-0000-0000-000008000000}" name="NewProcessId" dataDxfId="16"/>
    <tableColumn id="9" xr3:uid="{00000000-0010-0000-0000-000009000000}" name="CreatorProcessId" dataDxfId="15"/>
    <tableColumn id="10" xr3:uid="{00000000-0010-0000-0000-00000A000000}" name="SecurityEvtx"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vent4688RunLevel" displayName="Event4688RunLevel" ref="A1:M73" totalsRowShown="0" dataDxfId="13">
  <tableColumns count="13">
    <tableColumn id="1" xr3:uid="{00000000-0010-0000-0100-000001000000}" name="Run-ID" dataDxfId="12"/>
    <tableColumn id="2" xr3:uid="{00000000-0010-0000-0100-000002000000}" name="Eventzeit" dataDxfId="11"/>
    <tableColumn id="3" xr3:uid="{00000000-0010-0000-0100-000003000000}" name="New Process Name" dataDxfId="10"/>
    <tableColumn id="4" xr3:uid="{00000000-0010-0000-0100-000004000000}" name="Account Name" dataDxfId="9"/>
    <tableColumn id="5" xr3:uid="{00000000-0010-0000-0100-000005000000}" name="Creator Process Name" dataDxfId="8"/>
    <tableColumn id="6" xr3:uid="{00000000-0010-0000-0100-000006000000}" name="Process Command Line" dataDxfId="7"/>
    <tableColumn id="7" xr3:uid="{00000000-0010-0000-0100-000007000000}" name="Nachweis" dataDxfId="6"/>
    <tableColumn id="8" xr3:uid="{00000000-0010-0000-0100-000008000000}" name="K" dataDxfId="5"/>
    <tableColumn id="9" xr3:uid="{00000000-0010-0000-0100-000009000000}" name="T" dataDxfId="4"/>
    <tableColumn id="10" xr3:uid="{00000000-0010-0000-0100-00000A000000}" name="U" dataDxfId="3"/>
    <tableColumn id="11" xr3:uid="{00000000-0010-0000-0100-00000B000000}" name="A" dataDxfId="2"/>
    <tableColumn id="12" xr3:uid="{00000000-0010-0000-0100-00000C000000}" name="H" dataDxfId="1"/>
    <tableColumn id="13" xr3:uid="{00000000-0010-0000-0100-00000D000000}" name="Kurzbegründung"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ent4688Aggregiert" displayName="Event4688Aggregiert" ref="A1:J25" totalsRowShown="0" dataDxfId="35">
  <tableColumns count="10">
    <tableColumn id="1" xr3:uid="{00000000-0010-0000-0200-000001000000}" name="Komponente" dataDxfId="34"/>
    <tableColumn id="2" xr3:uid="{00000000-0010-0000-0200-000002000000}" name="Aktionsklasse" dataDxfId="33"/>
    <tableColumn id="3" xr3:uid="{00000000-0010-0000-0200-000003000000}" name="Logging-Profil" dataDxfId="32"/>
    <tableColumn id="4" xr3:uid="{00000000-0010-0000-0200-000004000000}" name="DR" dataDxfId="31"/>
    <tableColumn id="5" xr3:uid="{00000000-0010-0000-0200-000005000000}" name="K" dataDxfId="30"/>
    <tableColumn id="6" xr3:uid="{00000000-0010-0000-0200-000006000000}" name="T" dataDxfId="29"/>
    <tableColumn id="7" xr3:uid="{00000000-0010-0000-0200-000007000000}" name="U" dataDxfId="28"/>
    <tableColumn id="8" xr3:uid="{00000000-0010-0000-0200-000008000000}" name="A" dataDxfId="27"/>
    <tableColumn id="9" xr3:uid="{00000000-0010-0000-0200-000009000000}" name="H" dataDxfId="26"/>
    <tableColumn id="10" xr3:uid="{00000000-0010-0000-0200-00000A000000}" name="Matrixzelle" dataDxfId="25"/>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4"/>
  <sheetViews>
    <sheetView tabSelected="1" topLeftCell="A63" workbookViewId="0">
      <selection activeCell="D66" sqref="D66"/>
    </sheetView>
  </sheetViews>
  <sheetFormatPr baseColWidth="10" defaultColWidth="9" defaultRowHeight="14.25"/>
  <cols>
    <col min="1" max="1" width="19" customWidth="1"/>
    <col min="2" max="2" width="11" customWidth="1"/>
    <col min="3" max="3" width="20" customWidth="1"/>
    <col min="4" max="4" width="48" customWidth="1"/>
    <col min="5" max="5" width="16" customWidth="1"/>
    <col min="6" max="6" width="38" customWidth="1"/>
    <col min="7" max="7" width="72" customWidth="1"/>
    <col min="8" max="9" width="18" customWidth="1"/>
    <col min="10" max="10" width="62" customWidth="1"/>
  </cols>
  <sheetData>
    <row r="1" spans="1:10" s="8" customFormat="1" ht="30">
      <c r="A1" s="4" t="s">
        <v>0</v>
      </c>
      <c r="B1" s="4" t="s">
        <v>1</v>
      </c>
      <c r="C1" s="4" t="s">
        <v>2</v>
      </c>
      <c r="D1" s="4" t="s">
        <v>3</v>
      </c>
      <c r="E1" s="4" t="s">
        <v>4</v>
      </c>
      <c r="F1" s="4" t="s">
        <v>5</v>
      </c>
      <c r="G1" s="4" t="s">
        <v>6</v>
      </c>
      <c r="H1" s="4" t="s">
        <v>7</v>
      </c>
      <c r="I1" s="4" t="s">
        <v>8</v>
      </c>
      <c r="J1" s="4" t="s">
        <v>9</v>
      </c>
    </row>
    <row r="2" spans="1:10" ht="36" customHeight="1">
      <c r="A2" s="3" t="s">
        <v>10</v>
      </c>
      <c r="B2" s="3">
        <v>0</v>
      </c>
      <c r="C2" s="3" t="s">
        <v>11</v>
      </c>
      <c r="D2" s="3" t="s">
        <v>11</v>
      </c>
      <c r="E2" s="3" t="s">
        <v>11</v>
      </c>
      <c r="F2" s="3" t="s">
        <v>11</v>
      </c>
      <c r="G2" s="3" t="s">
        <v>11</v>
      </c>
      <c r="H2" s="3" t="s">
        <v>11</v>
      </c>
      <c r="I2" s="3" t="s">
        <v>11</v>
      </c>
      <c r="J2" s="3" t="s">
        <v>12</v>
      </c>
    </row>
    <row r="3" spans="1:10" ht="36" customHeight="1">
      <c r="A3" s="3" t="s">
        <v>13</v>
      </c>
      <c r="B3" s="3">
        <v>0</v>
      </c>
      <c r="C3" s="3" t="s">
        <v>11</v>
      </c>
      <c r="D3" s="3" t="s">
        <v>11</v>
      </c>
      <c r="E3" s="3" t="s">
        <v>11</v>
      </c>
      <c r="F3" s="3" t="s">
        <v>11</v>
      </c>
      <c r="G3" s="3" t="s">
        <v>11</v>
      </c>
      <c r="H3" s="3" t="s">
        <v>11</v>
      </c>
      <c r="I3" s="3" t="s">
        <v>11</v>
      </c>
      <c r="J3" s="3" t="s">
        <v>14</v>
      </c>
    </row>
    <row r="4" spans="1:10" ht="36" customHeight="1">
      <c r="A4" s="3" t="s">
        <v>15</v>
      </c>
      <c r="B4" s="3">
        <v>0</v>
      </c>
      <c r="C4" s="3" t="s">
        <v>11</v>
      </c>
      <c r="D4" s="3" t="s">
        <v>11</v>
      </c>
      <c r="E4" s="3" t="s">
        <v>11</v>
      </c>
      <c r="F4" s="3" t="s">
        <v>11</v>
      </c>
      <c r="G4" s="3" t="s">
        <v>11</v>
      </c>
      <c r="H4" s="3" t="s">
        <v>11</v>
      </c>
      <c r="I4" s="3" t="s">
        <v>11</v>
      </c>
      <c r="J4" s="3" t="s">
        <v>16</v>
      </c>
    </row>
    <row r="5" spans="1:10" ht="36" customHeight="1">
      <c r="A5" s="3" t="s">
        <v>17</v>
      </c>
      <c r="B5" s="3">
        <v>1</v>
      </c>
      <c r="C5" s="3" t="s">
        <v>18</v>
      </c>
      <c r="D5" s="3" t="s">
        <v>19</v>
      </c>
      <c r="E5" s="3" t="s">
        <v>20</v>
      </c>
      <c r="F5" s="3" t="s">
        <v>21</v>
      </c>
      <c r="G5" s="3" t="s">
        <v>22</v>
      </c>
      <c r="H5" s="3" t="s">
        <v>23</v>
      </c>
      <c r="I5" s="3" t="s">
        <v>24</v>
      </c>
      <c r="J5" s="3" t="s">
        <v>25</v>
      </c>
    </row>
    <row r="6" spans="1:10" ht="36" customHeight="1">
      <c r="A6" s="3" t="s">
        <v>26</v>
      </c>
      <c r="B6" s="3">
        <v>1</v>
      </c>
      <c r="C6" s="3" t="s">
        <v>27</v>
      </c>
      <c r="D6" s="3" t="s">
        <v>19</v>
      </c>
      <c r="E6" s="3" t="s">
        <v>20</v>
      </c>
      <c r="F6" s="3" t="s">
        <v>21</v>
      </c>
      <c r="G6" s="3" t="s">
        <v>22</v>
      </c>
      <c r="H6" s="3" t="s">
        <v>28</v>
      </c>
      <c r="I6" s="3" t="s">
        <v>29</v>
      </c>
      <c r="J6" s="3" t="s">
        <v>30</v>
      </c>
    </row>
    <row r="7" spans="1:10" ht="36" customHeight="1">
      <c r="A7" s="3" t="s">
        <v>31</v>
      </c>
      <c r="B7" s="3">
        <v>1</v>
      </c>
      <c r="C7" s="3" t="s">
        <v>32</v>
      </c>
      <c r="D7" s="3" t="s">
        <v>19</v>
      </c>
      <c r="E7" s="3" t="s">
        <v>20</v>
      </c>
      <c r="F7" s="3" t="s">
        <v>21</v>
      </c>
      <c r="G7" s="3" t="s">
        <v>22</v>
      </c>
      <c r="H7" s="3" t="s">
        <v>33</v>
      </c>
      <c r="I7" s="3" t="s">
        <v>34</v>
      </c>
      <c r="J7" s="3" t="s">
        <v>35</v>
      </c>
    </row>
    <row r="8" spans="1:10" ht="36" customHeight="1">
      <c r="A8" s="3" t="s">
        <v>36</v>
      </c>
      <c r="B8" s="3">
        <v>1</v>
      </c>
      <c r="C8" s="3" t="s">
        <v>37</v>
      </c>
      <c r="D8" s="3" t="s">
        <v>19</v>
      </c>
      <c r="E8" s="3" t="s">
        <v>20</v>
      </c>
      <c r="F8" s="3" t="s">
        <v>21</v>
      </c>
      <c r="G8" s="3" t="s">
        <v>22</v>
      </c>
      <c r="H8" s="3" t="s">
        <v>38</v>
      </c>
      <c r="I8" s="3" t="s">
        <v>39</v>
      </c>
      <c r="J8" s="3" t="s">
        <v>40</v>
      </c>
    </row>
    <row r="9" spans="1:10" ht="36" customHeight="1">
      <c r="A9" s="3" t="s">
        <v>41</v>
      </c>
      <c r="B9" s="3">
        <v>1</v>
      </c>
      <c r="C9" s="3" t="s">
        <v>42</v>
      </c>
      <c r="D9" s="3" t="s">
        <v>19</v>
      </c>
      <c r="E9" s="3" t="s">
        <v>20</v>
      </c>
      <c r="F9" s="3" t="s">
        <v>21</v>
      </c>
      <c r="G9" s="3" t="s">
        <v>22</v>
      </c>
      <c r="H9" s="3" t="s">
        <v>43</v>
      </c>
      <c r="I9" s="3" t="s">
        <v>44</v>
      </c>
      <c r="J9" s="3" t="s">
        <v>45</v>
      </c>
    </row>
    <row r="10" spans="1:10" ht="36" customHeight="1">
      <c r="A10" s="3" t="s">
        <v>46</v>
      </c>
      <c r="B10" s="3">
        <v>1</v>
      </c>
      <c r="C10" s="3" t="s">
        <v>47</v>
      </c>
      <c r="D10" s="3" t="s">
        <v>48</v>
      </c>
      <c r="E10" s="3" t="s">
        <v>20</v>
      </c>
      <c r="F10" s="3" t="s">
        <v>49</v>
      </c>
      <c r="G10" s="3" t="s">
        <v>22</v>
      </c>
      <c r="H10" s="3" t="s">
        <v>50</v>
      </c>
      <c r="I10" s="3" t="s">
        <v>51</v>
      </c>
      <c r="J10" s="3" t="s">
        <v>52</v>
      </c>
    </row>
    <row r="11" spans="1:10" ht="36" customHeight="1">
      <c r="A11" s="3" t="s">
        <v>53</v>
      </c>
      <c r="B11" s="3">
        <v>0</v>
      </c>
      <c r="C11" s="3" t="s">
        <v>11</v>
      </c>
      <c r="D11" s="3" t="s">
        <v>11</v>
      </c>
      <c r="E11" s="3" t="s">
        <v>11</v>
      </c>
      <c r="F11" s="3" t="s">
        <v>11</v>
      </c>
      <c r="G11" s="3" t="s">
        <v>11</v>
      </c>
      <c r="H11" s="3" t="s">
        <v>11</v>
      </c>
      <c r="I11" s="3" t="s">
        <v>11</v>
      </c>
      <c r="J11" s="3" t="s">
        <v>54</v>
      </c>
    </row>
    <row r="12" spans="1:10" ht="36" customHeight="1">
      <c r="A12" s="3" t="s">
        <v>55</v>
      </c>
      <c r="B12" s="3">
        <v>0</v>
      </c>
      <c r="C12" s="3" t="s">
        <v>11</v>
      </c>
      <c r="D12" s="3" t="s">
        <v>11</v>
      </c>
      <c r="E12" s="3" t="s">
        <v>11</v>
      </c>
      <c r="F12" s="3" t="s">
        <v>11</v>
      </c>
      <c r="G12" s="3" t="s">
        <v>11</v>
      </c>
      <c r="H12" s="3" t="s">
        <v>11</v>
      </c>
      <c r="I12" s="3" t="s">
        <v>11</v>
      </c>
      <c r="J12" s="3" t="s">
        <v>56</v>
      </c>
    </row>
    <row r="13" spans="1:10" ht="36" customHeight="1">
      <c r="A13" s="3" t="s">
        <v>57</v>
      </c>
      <c r="B13" s="3">
        <v>0</v>
      </c>
      <c r="C13" s="3" t="s">
        <v>11</v>
      </c>
      <c r="D13" s="3" t="s">
        <v>11</v>
      </c>
      <c r="E13" s="3" t="s">
        <v>11</v>
      </c>
      <c r="F13" s="3" t="s">
        <v>11</v>
      </c>
      <c r="G13" s="3" t="s">
        <v>11</v>
      </c>
      <c r="H13" s="3" t="s">
        <v>11</v>
      </c>
      <c r="I13" s="3" t="s">
        <v>11</v>
      </c>
      <c r="J13" s="3" t="s">
        <v>58</v>
      </c>
    </row>
    <row r="14" spans="1:10" ht="36" customHeight="1">
      <c r="A14" s="3" t="s">
        <v>59</v>
      </c>
      <c r="B14" s="3">
        <v>1</v>
      </c>
      <c r="C14" s="3" t="s">
        <v>60</v>
      </c>
      <c r="D14" s="3" t="s">
        <v>19</v>
      </c>
      <c r="E14" s="3" t="s">
        <v>20</v>
      </c>
      <c r="F14" s="3" t="s">
        <v>21</v>
      </c>
      <c r="G14" s="3" t="s">
        <v>61</v>
      </c>
      <c r="H14" s="3" t="s">
        <v>62</v>
      </c>
      <c r="I14" s="3" t="s">
        <v>63</v>
      </c>
      <c r="J14" s="3" t="s">
        <v>64</v>
      </c>
    </row>
    <row r="15" spans="1:10" ht="36" customHeight="1">
      <c r="A15" s="3" t="s">
        <v>65</v>
      </c>
      <c r="B15" s="3">
        <v>1</v>
      </c>
      <c r="C15" s="3" t="s">
        <v>66</v>
      </c>
      <c r="D15" s="3" t="s">
        <v>19</v>
      </c>
      <c r="E15" s="3" t="s">
        <v>20</v>
      </c>
      <c r="F15" s="3" t="s">
        <v>21</v>
      </c>
      <c r="G15" s="3" t="s">
        <v>61</v>
      </c>
      <c r="H15" s="3" t="s">
        <v>67</v>
      </c>
      <c r="I15" s="3" t="s">
        <v>68</v>
      </c>
      <c r="J15" s="3" t="s">
        <v>69</v>
      </c>
    </row>
    <row r="16" spans="1:10" ht="36" customHeight="1">
      <c r="A16" s="3" t="s">
        <v>70</v>
      </c>
      <c r="B16" s="3">
        <v>1</v>
      </c>
      <c r="C16" s="3" t="s">
        <v>71</v>
      </c>
      <c r="D16" s="3" t="s">
        <v>19</v>
      </c>
      <c r="E16" s="3" t="s">
        <v>20</v>
      </c>
      <c r="F16" s="3" t="s">
        <v>21</v>
      </c>
      <c r="G16" s="3" t="s">
        <v>61</v>
      </c>
      <c r="H16" s="3" t="s">
        <v>72</v>
      </c>
      <c r="I16" s="3" t="s">
        <v>73</v>
      </c>
      <c r="J16" s="3" t="s">
        <v>74</v>
      </c>
    </row>
    <row r="17" spans="1:10" ht="36" customHeight="1">
      <c r="A17" s="3" t="s">
        <v>75</v>
      </c>
      <c r="B17" s="3">
        <v>1</v>
      </c>
      <c r="C17" s="3" t="s">
        <v>76</v>
      </c>
      <c r="D17" s="3" t="s">
        <v>19</v>
      </c>
      <c r="E17" s="3" t="s">
        <v>20</v>
      </c>
      <c r="F17" s="3" t="s">
        <v>21</v>
      </c>
      <c r="G17" s="3" t="s">
        <v>61</v>
      </c>
      <c r="H17" s="3" t="s">
        <v>77</v>
      </c>
      <c r="I17" s="3" t="s">
        <v>78</v>
      </c>
      <c r="J17" s="3" t="s">
        <v>79</v>
      </c>
    </row>
    <row r="18" spans="1:10" ht="36" customHeight="1">
      <c r="A18" s="3" t="s">
        <v>80</v>
      </c>
      <c r="B18" s="3">
        <v>1</v>
      </c>
      <c r="C18" s="3" t="s">
        <v>81</v>
      </c>
      <c r="D18" s="3" t="s">
        <v>19</v>
      </c>
      <c r="E18" s="3" t="s">
        <v>20</v>
      </c>
      <c r="F18" s="3" t="s">
        <v>82</v>
      </c>
      <c r="G18" s="3" t="s">
        <v>83</v>
      </c>
      <c r="H18" s="3" t="s">
        <v>84</v>
      </c>
      <c r="I18" s="3" t="s">
        <v>85</v>
      </c>
      <c r="J18" s="3" t="s">
        <v>86</v>
      </c>
    </row>
    <row r="19" spans="1:10" ht="36" customHeight="1">
      <c r="A19" s="3" t="s">
        <v>80</v>
      </c>
      <c r="B19" s="3">
        <v>1</v>
      </c>
      <c r="C19" s="3" t="s">
        <v>87</v>
      </c>
      <c r="D19" s="3" t="s">
        <v>19</v>
      </c>
      <c r="E19" s="3" t="s">
        <v>20</v>
      </c>
      <c r="F19" s="3" t="s">
        <v>21</v>
      </c>
      <c r="G19" s="3" t="s">
        <v>61</v>
      </c>
      <c r="H19" s="3" t="s">
        <v>88</v>
      </c>
      <c r="I19" s="3" t="s">
        <v>89</v>
      </c>
      <c r="J19" s="3" t="s">
        <v>86</v>
      </c>
    </row>
    <row r="20" spans="1:10" ht="36" customHeight="1">
      <c r="A20" s="3" t="s">
        <v>90</v>
      </c>
      <c r="B20" s="3">
        <v>1</v>
      </c>
      <c r="C20" s="3" t="s">
        <v>91</v>
      </c>
      <c r="D20" s="3" t="s">
        <v>19</v>
      </c>
      <c r="E20" s="3" t="s">
        <v>20</v>
      </c>
      <c r="F20" s="3" t="s">
        <v>21</v>
      </c>
      <c r="G20" s="3" t="s">
        <v>61</v>
      </c>
      <c r="H20" s="3" t="s">
        <v>92</v>
      </c>
      <c r="I20" s="3" t="s">
        <v>93</v>
      </c>
      <c r="J20" s="3" t="s">
        <v>94</v>
      </c>
    </row>
    <row r="21" spans="1:10" ht="36" customHeight="1">
      <c r="A21" s="3" t="s">
        <v>95</v>
      </c>
      <c r="B21" s="3">
        <v>0</v>
      </c>
      <c r="C21" s="3" t="s">
        <v>11</v>
      </c>
      <c r="D21" s="3" t="s">
        <v>11</v>
      </c>
      <c r="E21" s="3" t="s">
        <v>11</v>
      </c>
      <c r="F21" s="3" t="s">
        <v>11</v>
      </c>
      <c r="G21" s="3" t="s">
        <v>11</v>
      </c>
      <c r="H21" s="3" t="s">
        <v>11</v>
      </c>
      <c r="I21" s="3" t="s">
        <v>11</v>
      </c>
      <c r="J21" s="3" t="s">
        <v>96</v>
      </c>
    </row>
    <row r="22" spans="1:10" ht="36" customHeight="1">
      <c r="A22" s="3" t="s">
        <v>97</v>
      </c>
      <c r="B22" s="3">
        <v>0</v>
      </c>
      <c r="C22" s="3" t="s">
        <v>11</v>
      </c>
      <c r="D22" s="3" t="s">
        <v>11</v>
      </c>
      <c r="E22" s="3" t="s">
        <v>11</v>
      </c>
      <c r="F22" s="3" t="s">
        <v>11</v>
      </c>
      <c r="G22" s="3" t="s">
        <v>11</v>
      </c>
      <c r="H22" s="3" t="s">
        <v>11</v>
      </c>
      <c r="I22" s="3" t="s">
        <v>11</v>
      </c>
      <c r="J22" s="3" t="s">
        <v>98</v>
      </c>
    </row>
    <row r="23" spans="1:10" ht="36" customHeight="1">
      <c r="A23" s="3" t="s">
        <v>99</v>
      </c>
      <c r="B23" s="3">
        <v>0</v>
      </c>
      <c r="C23" s="3" t="s">
        <v>11</v>
      </c>
      <c r="D23" s="3" t="s">
        <v>11</v>
      </c>
      <c r="E23" s="3" t="s">
        <v>11</v>
      </c>
      <c r="F23" s="3" t="s">
        <v>11</v>
      </c>
      <c r="G23" s="3" t="s">
        <v>11</v>
      </c>
      <c r="H23" s="3" t="s">
        <v>11</v>
      </c>
      <c r="I23" s="3" t="s">
        <v>11</v>
      </c>
      <c r="J23" s="3" t="s">
        <v>100</v>
      </c>
    </row>
    <row r="24" spans="1:10" ht="36" customHeight="1">
      <c r="A24" s="3" t="s">
        <v>101</v>
      </c>
      <c r="B24" s="3">
        <v>1</v>
      </c>
      <c r="C24" s="3" t="s">
        <v>102</v>
      </c>
      <c r="D24" s="3" t="s">
        <v>103</v>
      </c>
      <c r="E24" s="3" t="s">
        <v>20</v>
      </c>
      <c r="F24" s="3" t="s">
        <v>21</v>
      </c>
      <c r="G24" s="3" t="s">
        <v>104</v>
      </c>
      <c r="H24" s="3" t="s">
        <v>105</v>
      </c>
      <c r="I24" s="3" t="s">
        <v>106</v>
      </c>
      <c r="J24" s="3" t="s">
        <v>107</v>
      </c>
    </row>
    <row r="25" spans="1:10" ht="36" customHeight="1">
      <c r="A25" s="3" t="s">
        <v>108</v>
      </c>
      <c r="B25" s="3">
        <v>1</v>
      </c>
      <c r="C25" s="3" t="s">
        <v>109</v>
      </c>
      <c r="D25" s="3" t="s">
        <v>103</v>
      </c>
      <c r="E25" s="3" t="s">
        <v>20</v>
      </c>
      <c r="F25" s="3" t="s">
        <v>21</v>
      </c>
      <c r="G25" s="3" t="s">
        <v>104</v>
      </c>
      <c r="H25" s="3" t="s">
        <v>110</v>
      </c>
      <c r="I25" s="3" t="s">
        <v>111</v>
      </c>
      <c r="J25" s="3" t="s">
        <v>112</v>
      </c>
    </row>
    <row r="26" spans="1:10" ht="36" customHeight="1">
      <c r="A26" s="3" t="s">
        <v>113</v>
      </c>
      <c r="B26" s="3">
        <v>1</v>
      </c>
      <c r="C26" s="3" t="s">
        <v>114</v>
      </c>
      <c r="D26" s="3" t="s">
        <v>103</v>
      </c>
      <c r="E26" s="3" t="s">
        <v>20</v>
      </c>
      <c r="F26" s="3" t="s">
        <v>21</v>
      </c>
      <c r="G26" s="3" t="s">
        <v>104</v>
      </c>
      <c r="H26" s="3" t="s">
        <v>115</v>
      </c>
      <c r="I26" s="3" t="s">
        <v>116</v>
      </c>
      <c r="J26" s="3" t="s">
        <v>117</v>
      </c>
    </row>
    <row r="27" spans="1:10" ht="36" customHeight="1">
      <c r="A27" s="3" t="s">
        <v>118</v>
      </c>
      <c r="B27" s="3">
        <v>1</v>
      </c>
      <c r="C27" s="3" t="s">
        <v>119</v>
      </c>
      <c r="D27" s="3" t="s">
        <v>103</v>
      </c>
      <c r="E27" s="3" t="s">
        <v>20</v>
      </c>
      <c r="F27" s="3" t="s">
        <v>21</v>
      </c>
      <c r="G27" s="3" t="s">
        <v>104</v>
      </c>
      <c r="H27" s="3" t="s">
        <v>120</v>
      </c>
      <c r="I27" s="3" t="s">
        <v>121</v>
      </c>
      <c r="J27" s="3" t="s">
        <v>122</v>
      </c>
    </row>
    <row r="28" spans="1:10" ht="36" customHeight="1">
      <c r="A28" s="3" t="s">
        <v>123</v>
      </c>
      <c r="B28" s="3">
        <v>1</v>
      </c>
      <c r="C28" s="3" t="s">
        <v>124</v>
      </c>
      <c r="D28" s="3" t="s">
        <v>103</v>
      </c>
      <c r="E28" s="3" t="s">
        <v>20</v>
      </c>
      <c r="F28" s="3" t="s">
        <v>21</v>
      </c>
      <c r="G28" s="3" t="s">
        <v>104</v>
      </c>
      <c r="H28" s="3" t="s">
        <v>125</v>
      </c>
      <c r="I28" s="3" t="s">
        <v>126</v>
      </c>
      <c r="J28" s="3" t="s">
        <v>127</v>
      </c>
    </row>
    <row r="29" spans="1:10" ht="36" customHeight="1">
      <c r="A29" s="3" t="s">
        <v>128</v>
      </c>
      <c r="B29" s="3">
        <v>1</v>
      </c>
      <c r="C29" s="3" t="s">
        <v>129</v>
      </c>
      <c r="D29" s="3" t="s">
        <v>103</v>
      </c>
      <c r="E29" s="3" t="s">
        <v>20</v>
      </c>
      <c r="F29" s="3" t="s">
        <v>21</v>
      </c>
      <c r="G29" s="3" t="s">
        <v>104</v>
      </c>
      <c r="H29" s="3" t="s">
        <v>130</v>
      </c>
      <c r="I29" s="3" t="s">
        <v>131</v>
      </c>
      <c r="J29" s="3" t="s">
        <v>132</v>
      </c>
    </row>
    <row r="30" spans="1:10" ht="36" customHeight="1">
      <c r="A30" s="3" t="s">
        <v>133</v>
      </c>
      <c r="B30" s="3">
        <v>0</v>
      </c>
      <c r="C30" s="3" t="s">
        <v>11</v>
      </c>
      <c r="D30" s="3" t="s">
        <v>11</v>
      </c>
      <c r="E30" s="3" t="s">
        <v>11</v>
      </c>
      <c r="F30" s="3" t="s">
        <v>11</v>
      </c>
      <c r="G30" s="3" t="s">
        <v>11</v>
      </c>
      <c r="H30" s="3" t="s">
        <v>11</v>
      </c>
      <c r="I30" s="3" t="s">
        <v>11</v>
      </c>
      <c r="J30" s="3" t="s">
        <v>134</v>
      </c>
    </row>
    <row r="31" spans="1:10" ht="36" customHeight="1">
      <c r="A31" s="3" t="s">
        <v>135</v>
      </c>
      <c r="B31" s="3">
        <v>0</v>
      </c>
      <c r="C31" s="3" t="s">
        <v>11</v>
      </c>
      <c r="D31" s="3" t="s">
        <v>11</v>
      </c>
      <c r="E31" s="3" t="s">
        <v>11</v>
      </c>
      <c r="F31" s="3" t="s">
        <v>11</v>
      </c>
      <c r="G31" s="3" t="s">
        <v>11</v>
      </c>
      <c r="H31" s="3" t="s">
        <v>11</v>
      </c>
      <c r="I31" s="3" t="s">
        <v>11</v>
      </c>
      <c r="J31" s="3" t="s">
        <v>136</v>
      </c>
    </row>
    <row r="32" spans="1:10" ht="36" customHeight="1">
      <c r="A32" s="3" t="s">
        <v>137</v>
      </c>
      <c r="B32" s="3">
        <v>0</v>
      </c>
      <c r="C32" s="3" t="s">
        <v>11</v>
      </c>
      <c r="D32" s="3" t="s">
        <v>11</v>
      </c>
      <c r="E32" s="3" t="s">
        <v>11</v>
      </c>
      <c r="F32" s="3" t="s">
        <v>11</v>
      </c>
      <c r="G32" s="3" t="s">
        <v>11</v>
      </c>
      <c r="H32" s="3" t="s">
        <v>11</v>
      </c>
      <c r="I32" s="3" t="s">
        <v>11</v>
      </c>
      <c r="J32" s="3" t="s">
        <v>138</v>
      </c>
    </row>
    <row r="33" spans="1:10" ht="36" customHeight="1">
      <c r="A33" s="3" t="s">
        <v>139</v>
      </c>
      <c r="B33" s="3">
        <v>1</v>
      </c>
      <c r="C33" s="3" t="s">
        <v>140</v>
      </c>
      <c r="D33" s="3" t="s">
        <v>103</v>
      </c>
      <c r="E33" s="3" t="s">
        <v>20</v>
      </c>
      <c r="F33" s="3" t="s">
        <v>21</v>
      </c>
      <c r="G33" s="3" t="s">
        <v>141</v>
      </c>
      <c r="H33" s="3" t="s">
        <v>142</v>
      </c>
      <c r="I33" s="3" t="s">
        <v>115</v>
      </c>
      <c r="J33" s="3" t="s">
        <v>143</v>
      </c>
    </row>
    <row r="34" spans="1:10" ht="36" customHeight="1">
      <c r="A34" s="3" t="s">
        <v>144</v>
      </c>
      <c r="B34" s="3">
        <v>1</v>
      </c>
      <c r="C34" s="3" t="s">
        <v>145</v>
      </c>
      <c r="D34" s="3" t="s">
        <v>103</v>
      </c>
      <c r="E34" s="3" t="s">
        <v>20</v>
      </c>
      <c r="F34" s="3" t="s">
        <v>21</v>
      </c>
      <c r="G34" s="3" t="s">
        <v>141</v>
      </c>
      <c r="H34" s="3" t="s">
        <v>67</v>
      </c>
      <c r="I34" s="3" t="s">
        <v>146</v>
      </c>
      <c r="J34" s="3" t="s">
        <v>147</v>
      </c>
    </row>
    <row r="35" spans="1:10" ht="36" customHeight="1">
      <c r="A35" s="3" t="s">
        <v>148</v>
      </c>
      <c r="B35" s="3">
        <v>1</v>
      </c>
      <c r="C35" s="3" t="s">
        <v>149</v>
      </c>
      <c r="D35" s="3" t="s">
        <v>103</v>
      </c>
      <c r="E35" s="3" t="s">
        <v>20</v>
      </c>
      <c r="F35" s="3" t="s">
        <v>21</v>
      </c>
      <c r="G35" s="3" t="s">
        <v>141</v>
      </c>
      <c r="H35" s="3" t="s">
        <v>150</v>
      </c>
      <c r="I35" s="3" t="s">
        <v>146</v>
      </c>
      <c r="J35" s="3" t="s">
        <v>151</v>
      </c>
    </row>
    <row r="36" spans="1:10" ht="36" customHeight="1">
      <c r="A36" s="3" t="s">
        <v>152</v>
      </c>
      <c r="B36" s="3">
        <v>1</v>
      </c>
      <c r="C36" s="3" t="s">
        <v>153</v>
      </c>
      <c r="D36" s="3" t="s">
        <v>103</v>
      </c>
      <c r="E36" s="3" t="s">
        <v>20</v>
      </c>
      <c r="F36" s="3" t="s">
        <v>21</v>
      </c>
      <c r="G36" s="3" t="s">
        <v>141</v>
      </c>
      <c r="H36" s="3" t="s">
        <v>154</v>
      </c>
      <c r="I36" s="3" t="s">
        <v>155</v>
      </c>
      <c r="J36" s="3" t="s">
        <v>156</v>
      </c>
    </row>
    <row r="37" spans="1:10" ht="36" customHeight="1">
      <c r="A37" s="3" t="s">
        <v>157</v>
      </c>
      <c r="B37" s="3">
        <v>1</v>
      </c>
      <c r="C37" s="3" t="s">
        <v>158</v>
      </c>
      <c r="D37" s="3" t="s">
        <v>103</v>
      </c>
      <c r="E37" s="3" t="s">
        <v>20</v>
      </c>
      <c r="F37" s="3" t="s">
        <v>21</v>
      </c>
      <c r="G37" s="3" t="s">
        <v>141</v>
      </c>
      <c r="H37" s="3" t="s">
        <v>39</v>
      </c>
      <c r="I37" s="3" t="s">
        <v>159</v>
      </c>
      <c r="J37" s="3" t="s">
        <v>160</v>
      </c>
    </row>
    <row r="38" spans="1:10" ht="36" customHeight="1">
      <c r="A38" s="3" t="s">
        <v>161</v>
      </c>
      <c r="B38" s="3">
        <v>1</v>
      </c>
      <c r="C38" s="3" t="s">
        <v>162</v>
      </c>
      <c r="D38" s="3" t="s">
        <v>103</v>
      </c>
      <c r="E38" s="3" t="s">
        <v>20</v>
      </c>
      <c r="F38" s="3" t="s">
        <v>21</v>
      </c>
      <c r="G38" s="3" t="s">
        <v>141</v>
      </c>
      <c r="H38" s="3" t="s">
        <v>163</v>
      </c>
      <c r="I38" s="3" t="s">
        <v>164</v>
      </c>
      <c r="J38" s="3" t="s">
        <v>165</v>
      </c>
    </row>
    <row r="39" spans="1:10" ht="36" customHeight="1">
      <c r="A39" s="3" t="s">
        <v>166</v>
      </c>
      <c r="B39" s="3">
        <v>0</v>
      </c>
      <c r="C39" s="3" t="s">
        <v>11</v>
      </c>
      <c r="D39" s="3" t="s">
        <v>11</v>
      </c>
      <c r="E39" s="3" t="s">
        <v>11</v>
      </c>
      <c r="F39" s="3" t="s">
        <v>11</v>
      </c>
      <c r="G39" s="3" t="s">
        <v>11</v>
      </c>
      <c r="H39" s="3" t="s">
        <v>11</v>
      </c>
      <c r="I39" s="3" t="s">
        <v>11</v>
      </c>
      <c r="J39" s="3" t="s">
        <v>167</v>
      </c>
    </row>
    <row r="40" spans="1:10" ht="36" customHeight="1">
      <c r="A40" s="3" t="s">
        <v>168</v>
      </c>
      <c r="B40" s="3">
        <v>0</v>
      </c>
      <c r="C40" s="3" t="s">
        <v>11</v>
      </c>
      <c r="D40" s="3" t="s">
        <v>11</v>
      </c>
      <c r="E40" s="3" t="s">
        <v>11</v>
      </c>
      <c r="F40" s="3" t="s">
        <v>11</v>
      </c>
      <c r="G40" s="3" t="s">
        <v>11</v>
      </c>
      <c r="H40" s="3" t="s">
        <v>11</v>
      </c>
      <c r="I40" s="3" t="s">
        <v>11</v>
      </c>
      <c r="J40" s="3" t="s">
        <v>169</v>
      </c>
    </row>
    <row r="41" spans="1:10" ht="36" customHeight="1">
      <c r="A41" s="3" t="s">
        <v>170</v>
      </c>
      <c r="B41" s="3">
        <v>0</v>
      </c>
      <c r="C41" s="3" t="s">
        <v>11</v>
      </c>
      <c r="D41" s="3" t="s">
        <v>11</v>
      </c>
      <c r="E41" s="3" t="s">
        <v>11</v>
      </c>
      <c r="F41" s="3" t="s">
        <v>11</v>
      </c>
      <c r="G41" s="3" t="s">
        <v>11</v>
      </c>
      <c r="H41" s="3" t="s">
        <v>11</v>
      </c>
      <c r="I41" s="3" t="s">
        <v>11</v>
      </c>
      <c r="J41" s="3" t="s">
        <v>171</v>
      </c>
    </row>
    <row r="42" spans="1:10" ht="36" customHeight="1">
      <c r="A42" s="3" t="s">
        <v>172</v>
      </c>
      <c r="B42" s="3">
        <v>1</v>
      </c>
      <c r="C42" s="3" t="s">
        <v>173</v>
      </c>
      <c r="D42" s="3" t="s">
        <v>174</v>
      </c>
      <c r="E42" s="3" t="s">
        <v>20</v>
      </c>
      <c r="F42" s="3" t="s">
        <v>21</v>
      </c>
      <c r="G42" s="3" t="s">
        <v>175</v>
      </c>
      <c r="H42" s="3" t="s">
        <v>176</v>
      </c>
      <c r="I42" s="3" t="s">
        <v>177</v>
      </c>
      <c r="J42" s="3" t="s">
        <v>178</v>
      </c>
    </row>
    <row r="43" spans="1:10" ht="36" customHeight="1">
      <c r="A43" s="3" t="s">
        <v>179</v>
      </c>
      <c r="B43" s="3">
        <v>1</v>
      </c>
      <c r="C43" s="3" t="s">
        <v>180</v>
      </c>
      <c r="D43" s="3" t="s">
        <v>174</v>
      </c>
      <c r="E43" s="3" t="s">
        <v>20</v>
      </c>
      <c r="F43" s="3" t="s">
        <v>21</v>
      </c>
      <c r="G43" s="3" t="s">
        <v>175</v>
      </c>
      <c r="H43" s="3" t="s">
        <v>181</v>
      </c>
      <c r="I43" s="3" t="s">
        <v>182</v>
      </c>
      <c r="J43" s="3" t="s">
        <v>183</v>
      </c>
    </row>
    <row r="44" spans="1:10" ht="36" customHeight="1">
      <c r="A44" s="3" t="s">
        <v>184</v>
      </c>
      <c r="B44" s="3">
        <v>1</v>
      </c>
      <c r="C44" s="3" t="s">
        <v>185</v>
      </c>
      <c r="D44" s="3" t="s">
        <v>174</v>
      </c>
      <c r="E44" s="3" t="s">
        <v>20</v>
      </c>
      <c r="F44" s="3" t="s">
        <v>21</v>
      </c>
      <c r="G44" s="3" t="s">
        <v>175</v>
      </c>
      <c r="H44" s="3" t="s">
        <v>186</v>
      </c>
      <c r="I44" s="3" t="s">
        <v>187</v>
      </c>
      <c r="J44" s="3" t="s">
        <v>188</v>
      </c>
    </row>
    <row r="45" spans="1:10" ht="36" customHeight="1">
      <c r="A45" s="3" t="s">
        <v>189</v>
      </c>
      <c r="B45" s="3">
        <v>1</v>
      </c>
      <c r="C45" s="3" t="s">
        <v>190</v>
      </c>
      <c r="D45" s="3" t="s">
        <v>174</v>
      </c>
      <c r="E45" s="3" t="s">
        <v>20</v>
      </c>
      <c r="F45" s="3" t="s">
        <v>21</v>
      </c>
      <c r="G45" s="3" t="s">
        <v>175</v>
      </c>
      <c r="H45" s="3" t="s">
        <v>191</v>
      </c>
      <c r="I45" s="3" t="s">
        <v>192</v>
      </c>
      <c r="J45" s="3" t="s">
        <v>193</v>
      </c>
    </row>
    <row r="46" spans="1:10" ht="36" customHeight="1">
      <c r="A46" s="3" t="s">
        <v>194</v>
      </c>
      <c r="B46" s="3">
        <v>1</v>
      </c>
      <c r="C46" s="3" t="s">
        <v>195</v>
      </c>
      <c r="D46" s="3" t="s">
        <v>174</v>
      </c>
      <c r="E46" s="3" t="s">
        <v>20</v>
      </c>
      <c r="F46" s="3" t="s">
        <v>21</v>
      </c>
      <c r="G46" s="3" t="s">
        <v>175</v>
      </c>
      <c r="H46" s="3" t="s">
        <v>196</v>
      </c>
      <c r="I46" s="3" t="s">
        <v>197</v>
      </c>
      <c r="J46" s="3" t="s">
        <v>198</v>
      </c>
    </row>
    <row r="47" spans="1:10" ht="36" customHeight="1">
      <c r="A47" s="3" t="s">
        <v>199</v>
      </c>
      <c r="B47" s="3">
        <v>1</v>
      </c>
      <c r="C47" s="3" t="s">
        <v>200</v>
      </c>
      <c r="D47" s="3" t="s">
        <v>174</v>
      </c>
      <c r="E47" s="3" t="s">
        <v>20</v>
      </c>
      <c r="F47" s="3" t="s">
        <v>21</v>
      </c>
      <c r="G47" s="3" t="s">
        <v>175</v>
      </c>
      <c r="H47" s="3" t="s">
        <v>201</v>
      </c>
      <c r="I47" s="3" t="s">
        <v>202</v>
      </c>
      <c r="J47" s="3" t="s">
        <v>203</v>
      </c>
    </row>
    <row r="48" spans="1:10" ht="36" customHeight="1">
      <c r="A48" s="3" t="s">
        <v>204</v>
      </c>
      <c r="B48" s="3">
        <v>0</v>
      </c>
      <c r="C48" s="3" t="s">
        <v>11</v>
      </c>
      <c r="D48" s="3" t="s">
        <v>11</v>
      </c>
      <c r="E48" s="3" t="s">
        <v>11</v>
      </c>
      <c r="F48" s="3" t="s">
        <v>11</v>
      </c>
      <c r="G48" s="3" t="s">
        <v>11</v>
      </c>
      <c r="H48" s="3" t="s">
        <v>11</v>
      </c>
      <c r="I48" s="3" t="s">
        <v>11</v>
      </c>
      <c r="J48" s="3" t="s">
        <v>205</v>
      </c>
    </row>
    <row r="49" spans="1:10" ht="36" customHeight="1">
      <c r="A49" s="3" t="s">
        <v>206</v>
      </c>
      <c r="B49" s="3">
        <v>0</v>
      </c>
      <c r="C49" s="3" t="s">
        <v>11</v>
      </c>
      <c r="D49" s="3" t="s">
        <v>11</v>
      </c>
      <c r="E49" s="3" t="s">
        <v>11</v>
      </c>
      <c r="F49" s="3" t="s">
        <v>11</v>
      </c>
      <c r="G49" s="3" t="s">
        <v>11</v>
      </c>
      <c r="H49" s="3" t="s">
        <v>11</v>
      </c>
      <c r="I49" s="3" t="s">
        <v>11</v>
      </c>
      <c r="J49" s="3" t="s">
        <v>207</v>
      </c>
    </row>
    <row r="50" spans="1:10" ht="36" customHeight="1">
      <c r="A50" s="3" t="s">
        <v>208</v>
      </c>
      <c r="B50" s="3">
        <v>0</v>
      </c>
      <c r="C50" s="3" t="s">
        <v>11</v>
      </c>
      <c r="D50" s="3" t="s">
        <v>11</v>
      </c>
      <c r="E50" s="3" t="s">
        <v>11</v>
      </c>
      <c r="F50" s="3" t="s">
        <v>11</v>
      </c>
      <c r="G50" s="3" t="s">
        <v>11</v>
      </c>
      <c r="H50" s="3" t="s">
        <v>11</v>
      </c>
      <c r="I50" s="3" t="s">
        <v>11</v>
      </c>
      <c r="J50" s="3" t="s">
        <v>209</v>
      </c>
    </row>
    <row r="51" spans="1:10" ht="36" customHeight="1">
      <c r="A51" s="3" t="s">
        <v>210</v>
      </c>
      <c r="B51" s="3">
        <v>1</v>
      </c>
      <c r="C51" s="3" t="s">
        <v>211</v>
      </c>
      <c r="D51" s="3" t="s">
        <v>174</v>
      </c>
      <c r="E51" s="3" t="s">
        <v>20</v>
      </c>
      <c r="F51" s="3" t="s">
        <v>21</v>
      </c>
      <c r="G51" s="3" t="s">
        <v>212</v>
      </c>
      <c r="H51" s="3" t="s">
        <v>213</v>
      </c>
      <c r="I51" s="3" t="s">
        <v>214</v>
      </c>
      <c r="J51" s="3" t="s">
        <v>215</v>
      </c>
    </row>
    <row r="52" spans="1:10" ht="36" customHeight="1">
      <c r="A52" s="3" t="s">
        <v>216</v>
      </c>
      <c r="B52" s="3">
        <v>1</v>
      </c>
      <c r="C52" s="3" t="s">
        <v>217</v>
      </c>
      <c r="D52" s="3" t="s">
        <v>174</v>
      </c>
      <c r="E52" s="3" t="s">
        <v>20</v>
      </c>
      <c r="F52" s="3" t="s">
        <v>21</v>
      </c>
      <c r="G52" s="3" t="s">
        <v>212</v>
      </c>
      <c r="H52" s="3" t="s">
        <v>218</v>
      </c>
      <c r="I52" s="3" t="s">
        <v>219</v>
      </c>
      <c r="J52" s="3" t="s">
        <v>220</v>
      </c>
    </row>
    <row r="53" spans="1:10" ht="36" customHeight="1">
      <c r="A53" s="3" t="s">
        <v>221</v>
      </c>
      <c r="B53" s="3">
        <v>1</v>
      </c>
      <c r="C53" s="3" t="s">
        <v>222</v>
      </c>
      <c r="D53" s="3" t="s">
        <v>174</v>
      </c>
      <c r="E53" s="3" t="s">
        <v>20</v>
      </c>
      <c r="F53" s="3" t="s">
        <v>21</v>
      </c>
      <c r="G53" s="3" t="s">
        <v>212</v>
      </c>
      <c r="H53" s="3" t="s">
        <v>223</v>
      </c>
      <c r="I53" s="3" t="s">
        <v>224</v>
      </c>
      <c r="J53" s="3" t="s">
        <v>225</v>
      </c>
    </row>
    <row r="54" spans="1:10" ht="36" customHeight="1">
      <c r="A54" s="3" t="s">
        <v>226</v>
      </c>
      <c r="B54" s="3">
        <v>1</v>
      </c>
      <c r="C54" s="3" t="s">
        <v>227</v>
      </c>
      <c r="D54" s="3" t="s">
        <v>174</v>
      </c>
      <c r="E54" s="3" t="s">
        <v>20</v>
      </c>
      <c r="F54" s="3" t="s">
        <v>21</v>
      </c>
      <c r="G54" s="3" t="s">
        <v>212</v>
      </c>
      <c r="H54" s="3" t="s">
        <v>228</v>
      </c>
      <c r="I54" s="3" t="s">
        <v>229</v>
      </c>
      <c r="J54" s="3" t="s">
        <v>230</v>
      </c>
    </row>
    <row r="55" spans="1:10" ht="36" customHeight="1">
      <c r="A55" s="3" t="s">
        <v>231</v>
      </c>
      <c r="B55" s="3">
        <v>1</v>
      </c>
      <c r="C55" s="3" t="s">
        <v>232</v>
      </c>
      <c r="D55" s="3" t="s">
        <v>174</v>
      </c>
      <c r="E55" s="3" t="s">
        <v>20</v>
      </c>
      <c r="F55" s="3" t="s">
        <v>21</v>
      </c>
      <c r="G55" s="3" t="s">
        <v>212</v>
      </c>
      <c r="H55" s="3" t="s">
        <v>233</v>
      </c>
      <c r="I55" s="3" t="s">
        <v>234</v>
      </c>
      <c r="J55" s="3" t="s">
        <v>235</v>
      </c>
    </row>
    <row r="56" spans="1:10" ht="36" customHeight="1">
      <c r="A56" s="3" t="s">
        <v>236</v>
      </c>
      <c r="B56" s="3">
        <v>1</v>
      </c>
      <c r="C56" s="3" t="s">
        <v>237</v>
      </c>
      <c r="D56" s="3" t="s">
        <v>174</v>
      </c>
      <c r="E56" s="3" t="s">
        <v>20</v>
      </c>
      <c r="F56" s="3" t="s">
        <v>21</v>
      </c>
      <c r="G56" s="3" t="s">
        <v>212</v>
      </c>
      <c r="H56" s="3" t="s">
        <v>238</v>
      </c>
      <c r="I56" s="3" t="s">
        <v>239</v>
      </c>
      <c r="J56" s="3" t="s">
        <v>240</v>
      </c>
    </row>
    <row r="57" spans="1:10" ht="36" customHeight="1">
      <c r="A57" s="3" t="s">
        <v>241</v>
      </c>
      <c r="B57" s="3">
        <v>0</v>
      </c>
      <c r="C57" s="3" t="s">
        <v>11</v>
      </c>
      <c r="D57" s="3" t="s">
        <v>11</v>
      </c>
      <c r="E57" s="3" t="s">
        <v>11</v>
      </c>
      <c r="F57" s="3" t="s">
        <v>11</v>
      </c>
      <c r="G57" s="3" t="s">
        <v>11</v>
      </c>
      <c r="H57" s="3" t="s">
        <v>11</v>
      </c>
      <c r="I57" s="3" t="s">
        <v>11</v>
      </c>
      <c r="J57" s="3" t="s">
        <v>242</v>
      </c>
    </row>
    <row r="58" spans="1:10" ht="36" customHeight="1">
      <c r="A58" s="3" t="s">
        <v>243</v>
      </c>
      <c r="B58" s="3">
        <v>0</v>
      </c>
      <c r="C58" s="3" t="s">
        <v>11</v>
      </c>
      <c r="D58" s="3" t="s">
        <v>11</v>
      </c>
      <c r="E58" s="3" t="s">
        <v>11</v>
      </c>
      <c r="F58" s="3" t="s">
        <v>11</v>
      </c>
      <c r="G58" s="3" t="s">
        <v>11</v>
      </c>
      <c r="H58" s="3" t="s">
        <v>11</v>
      </c>
      <c r="I58" s="3" t="s">
        <v>11</v>
      </c>
      <c r="J58" s="3" t="s">
        <v>244</v>
      </c>
    </row>
    <row r="59" spans="1:10" ht="36" customHeight="1">
      <c r="A59" s="3" t="s">
        <v>245</v>
      </c>
      <c r="B59" s="3">
        <v>0</v>
      </c>
      <c r="C59" s="3" t="s">
        <v>11</v>
      </c>
      <c r="D59" s="3" t="s">
        <v>11</v>
      </c>
      <c r="E59" s="3" t="s">
        <v>11</v>
      </c>
      <c r="F59" s="3" t="s">
        <v>11</v>
      </c>
      <c r="G59" s="3" t="s">
        <v>11</v>
      </c>
      <c r="H59" s="3" t="s">
        <v>11</v>
      </c>
      <c r="I59" s="3" t="s">
        <v>11</v>
      </c>
      <c r="J59" s="3" t="s">
        <v>246</v>
      </c>
    </row>
    <row r="60" spans="1:10" ht="36" customHeight="1">
      <c r="A60" s="3" t="s">
        <v>247</v>
      </c>
      <c r="B60" s="3">
        <v>1</v>
      </c>
      <c r="C60" s="3" t="s">
        <v>248</v>
      </c>
      <c r="D60" s="3" t="s">
        <v>249</v>
      </c>
      <c r="E60" s="3" t="s">
        <v>20</v>
      </c>
      <c r="F60" s="3" t="s">
        <v>21</v>
      </c>
      <c r="G60" s="3" t="s">
        <v>250</v>
      </c>
      <c r="H60" s="3" t="s">
        <v>251</v>
      </c>
      <c r="I60" s="3" t="s">
        <v>252</v>
      </c>
      <c r="J60" s="3" t="s">
        <v>253</v>
      </c>
    </row>
    <row r="61" spans="1:10" ht="36" customHeight="1">
      <c r="A61" s="3" t="s">
        <v>254</v>
      </c>
      <c r="B61" s="3">
        <v>1</v>
      </c>
      <c r="C61" s="3" t="s">
        <v>255</v>
      </c>
      <c r="D61" s="3" t="s">
        <v>249</v>
      </c>
      <c r="E61" s="3" t="s">
        <v>20</v>
      </c>
      <c r="F61" s="3" t="s">
        <v>21</v>
      </c>
      <c r="G61" s="3" t="s">
        <v>250</v>
      </c>
      <c r="H61" s="3" t="s">
        <v>256</v>
      </c>
      <c r="I61" s="3" t="s">
        <v>257</v>
      </c>
      <c r="J61" s="3" t="s">
        <v>258</v>
      </c>
    </row>
    <row r="62" spans="1:10" ht="36" customHeight="1">
      <c r="A62" s="3" t="s">
        <v>259</v>
      </c>
      <c r="B62" s="3">
        <v>1</v>
      </c>
      <c r="C62" s="3" t="s">
        <v>260</v>
      </c>
      <c r="D62" s="3" t="s">
        <v>249</v>
      </c>
      <c r="E62" s="3" t="s">
        <v>20</v>
      </c>
      <c r="F62" s="3" t="s">
        <v>21</v>
      </c>
      <c r="G62" s="3" t="s">
        <v>250</v>
      </c>
      <c r="H62" s="3" t="s">
        <v>261</v>
      </c>
      <c r="I62" s="3" t="s">
        <v>262</v>
      </c>
      <c r="J62" s="3" t="s">
        <v>263</v>
      </c>
    </row>
    <row r="63" spans="1:10" ht="36" customHeight="1">
      <c r="A63" s="3" t="s">
        <v>264</v>
      </c>
      <c r="B63" s="3">
        <v>1</v>
      </c>
      <c r="C63" s="3" t="s">
        <v>265</v>
      </c>
      <c r="D63" s="3" t="s">
        <v>249</v>
      </c>
      <c r="E63" s="3" t="s">
        <v>20</v>
      </c>
      <c r="F63" s="3" t="s">
        <v>21</v>
      </c>
      <c r="G63" s="3" t="s">
        <v>250</v>
      </c>
      <c r="H63" s="3" t="s">
        <v>266</v>
      </c>
      <c r="I63" s="3" t="s">
        <v>267</v>
      </c>
      <c r="J63" s="3" t="s">
        <v>268</v>
      </c>
    </row>
    <row r="64" spans="1:10" ht="36" customHeight="1">
      <c r="A64" s="3" t="s">
        <v>269</v>
      </c>
      <c r="B64" s="3">
        <v>1</v>
      </c>
      <c r="C64" s="3" t="s">
        <v>270</v>
      </c>
      <c r="D64" s="3" t="s">
        <v>249</v>
      </c>
      <c r="E64" s="3" t="s">
        <v>20</v>
      </c>
      <c r="F64" s="3" t="s">
        <v>21</v>
      </c>
      <c r="G64" s="3" t="s">
        <v>250</v>
      </c>
      <c r="H64" s="3" t="s">
        <v>271</v>
      </c>
      <c r="I64" s="3" t="s">
        <v>272</v>
      </c>
      <c r="J64" s="3" t="s">
        <v>273</v>
      </c>
    </row>
    <row r="65" spans="1:10" ht="36" customHeight="1">
      <c r="A65" s="3" t="s">
        <v>274</v>
      </c>
      <c r="B65" s="3">
        <v>1</v>
      </c>
      <c r="C65" s="3" t="s">
        <v>275</v>
      </c>
      <c r="D65" s="3" t="s">
        <v>249</v>
      </c>
      <c r="E65" s="3" t="s">
        <v>20</v>
      </c>
      <c r="F65" s="3" t="s">
        <v>21</v>
      </c>
      <c r="G65" s="3" t="s">
        <v>250</v>
      </c>
      <c r="H65" s="3" t="s">
        <v>276</v>
      </c>
      <c r="I65" s="3" t="s">
        <v>277</v>
      </c>
      <c r="J65" s="3" t="s">
        <v>278</v>
      </c>
    </row>
    <row r="66" spans="1:10" ht="36" customHeight="1">
      <c r="A66" s="3" t="s">
        <v>279</v>
      </c>
      <c r="B66" s="3">
        <v>0</v>
      </c>
      <c r="C66" s="3" t="s">
        <v>11</v>
      </c>
      <c r="D66" s="3" t="s">
        <v>11</v>
      </c>
      <c r="E66" s="3" t="s">
        <v>11</v>
      </c>
      <c r="F66" s="3" t="s">
        <v>11</v>
      </c>
      <c r="G66" s="3" t="s">
        <v>11</v>
      </c>
      <c r="H66" s="3" t="s">
        <v>11</v>
      </c>
      <c r="I66" s="3" t="s">
        <v>11</v>
      </c>
      <c r="J66" s="3" t="s">
        <v>280</v>
      </c>
    </row>
    <row r="67" spans="1:10" ht="36" customHeight="1">
      <c r="A67" s="3" t="s">
        <v>281</v>
      </c>
      <c r="B67" s="3">
        <v>0</v>
      </c>
      <c r="C67" s="3" t="s">
        <v>11</v>
      </c>
      <c r="D67" s="3" t="s">
        <v>11</v>
      </c>
      <c r="E67" s="3" t="s">
        <v>11</v>
      </c>
      <c r="F67" s="3" t="s">
        <v>11</v>
      </c>
      <c r="G67" s="3" t="s">
        <v>11</v>
      </c>
      <c r="H67" s="3" t="s">
        <v>11</v>
      </c>
      <c r="I67" s="3" t="s">
        <v>11</v>
      </c>
      <c r="J67" s="3" t="s">
        <v>282</v>
      </c>
    </row>
    <row r="68" spans="1:10" ht="36" customHeight="1">
      <c r="A68" s="3" t="s">
        <v>283</v>
      </c>
      <c r="B68" s="3">
        <v>0</v>
      </c>
      <c r="C68" s="3" t="s">
        <v>11</v>
      </c>
      <c r="D68" s="3" t="s">
        <v>11</v>
      </c>
      <c r="E68" s="3" t="s">
        <v>11</v>
      </c>
      <c r="F68" s="3" t="s">
        <v>11</v>
      </c>
      <c r="G68" s="3" t="s">
        <v>11</v>
      </c>
      <c r="H68" s="3" t="s">
        <v>11</v>
      </c>
      <c r="I68" s="3" t="s">
        <v>11</v>
      </c>
      <c r="J68" s="3" t="s">
        <v>284</v>
      </c>
    </row>
    <row r="69" spans="1:10" ht="36" customHeight="1">
      <c r="A69" s="3" t="s">
        <v>285</v>
      </c>
      <c r="B69" s="3">
        <v>1</v>
      </c>
      <c r="C69" s="3" t="s">
        <v>286</v>
      </c>
      <c r="D69" s="3" t="s">
        <v>249</v>
      </c>
      <c r="E69" s="3" t="s">
        <v>20</v>
      </c>
      <c r="F69" s="3" t="s">
        <v>21</v>
      </c>
      <c r="G69" s="3" t="s">
        <v>287</v>
      </c>
      <c r="H69" s="3" t="s">
        <v>288</v>
      </c>
      <c r="I69" s="3" t="s">
        <v>289</v>
      </c>
      <c r="J69" s="3" t="s">
        <v>290</v>
      </c>
    </row>
    <row r="70" spans="1:10" ht="36" customHeight="1">
      <c r="A70" s="3" t="s">
        <v>291</v>
      </c>
      <c r="B70" s="3">
        <v>1</v>
      </c>
      <c r="C70" s="3" t="s">
        <v>292</v>
      </c>
      <c r="D70" s="3" t="s">
        <v>249</v>
      </c>
      <c r="E70" s="3" t="s">
        <v>20</v>
      </c>
      <c r="F70" s="3" t="s">
        <v>21</v>
      </c>
      <c r="G70" s="3" t="s">
        <v>287</v>
      </c>
      <c r="H70" s="3" t="s">
        <v>293</v>
      </c>
      <c r="I70" s="3" t="s">
        <v>251</v>
      </c>
      <c r="J70" s="3" t="s">
        <v>294</v>
      </c>
    </row>
    <row r="71" spans="1:10" ht="36" customHeight="1">
      <c r="A71" s="3" t="s">
        <v>295</v>
      </c>
      <c r="B71" s="3">
        <v>1</v>
      </c>
      <c r="C71" s="3" t="s">
        <v>296</v>
      </c>
      <c r="D71" s="3" t="s">
        <v>249</v>
      </c>
      <c r="E71" s="3" t="s">
        <v>20</v>
      </c>
      <c r="F71" s="3" t="s">
        <v>21</v>
      </c>
      <c r="G71" s="3" t="s">
        <v>287</v>
      </c>
      <c r="H71" s="3" t="s">
        <v>297</v>
      </c>
      <c r="I71" s="3" t="s">
        <v>298</v>
      </c>
      <c r="J71" s="3" t="s">
        <v>299</v>
      </c>
    </row>
    <row r="72" spans="1:10" ht="36" customHeight="1">
      <c r="A72" s="3" t="s">
        <v>300</v>
      </c>
      <c r="B72" s="3">
        <v>1</v>
      </c>
      <c r="C72" s="3" t="s">
        <v>301</v>
      </c>
      <c r="D72" s="3" t="s">
        <v>249</v>
      </c>
      <c r="E72" s="3" t="s">
        <v>20</v>
      </c>
      <c r="F72" s="3" t="s">
        <v>21</v>
      </c>
      <c r="G72" s="3" t="s">
        <v>287</v>
      </c>
      <c r="H72" s="3" t="s">
        <v>302</v>
      </c>
      <c r="I72" s="3" t="s">
        <v>303</v>
      </c>
      <c r="J72" s="3" t="s">
        <v>304</v>
      </c>
    </row>
    <row r="73" spans="1:10" ht="36" customHeight="1">
      <c r="A73" s="3" t="s">
        <v>305</v>
      </c>
      <c r="B73" s="3">
        <v>1</v>
      </c>
      <c r="C73" s="3" t="s">
        <v>306</v>
      </c>
      <c r="D73" s="3" t="s">
        <v>249</v>
      </c>
      <c r="E73" s="3" t="s">
        <v>20</v>
      </c>
      <c r="F73" s="3" t="s">
        <v>21</v>
      </c>
      <c r="G73" s="3" t="s">
        <v>287</v>
      </c>
      <c r="H73" s="3" t="s">
        <v>307</v>
      </c>
      <c r="I73" s="3" t="s">
        <v>192</v>
      </c>
      <c r="J73" s="3" t="s">
        <v>308</v>
      </c>
    </row>
    <row r="74" spans="1:10" ht="36" customHeight="1">
      <c r="A74" s="3" t="s">
        <v>309</v>
      </c>
      <c r="B74" s="3">
        <v>1</v>
      </c>
      <c r="C74" s="3" t="s">
        <v>310</v>
      </c>
      <c r="D74" s="3" t="s">
        <v>249</v>
      </c>
      <c r="E74" s="3" t="s">
        <v>20</v>
      </c>
      <c r="F74" s="3" t="s">
        <v>21</v>
      </c>
      <c r="G74" s="3" t="s">
        <v>287</v>
      </c>
      <c r="H74" s="3" t="s">
        <v>311</v>
      </c>
      <c r="I74" s="3" t="s">
        <v>312</v>
      </c>
      <c r="J74" s="3" t="s">
        <v>313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3"/>
  <sheetViews>
    <sheetView topLeftCell="A50" workbookViewId="0"/>
  </sheetViews>
  <sheetFormatPr baseColWidth="10" defaultColWidth="9" defaultRowHeight="14.25"/>
  <cols>
    <col min="1" max="1" width="18.75" customWidth="1"/>
    <col min="2" max="2" width="17.5" customWidth="1"/>
    <col min="3" max="3" width="47.75" customWidth="1"/>
    <col min="4" max="4" width="13.5" customWidth="1"/>
    <col min="5" max="5" width="29.625" customWidth="1"/>
    <col min="6" max="6" width="69.375" customWidth="1"/>
    <col min="7" max="12" width="9" customWidth="1"/>
    <col min="13" max="13" width="80" customWidth="1"/>
  </cols>
  <sheetData>
    <row r="1" spans="1:13" ht="30">
      <c r="A1" s="4" t="s">
        <v>314</v>
      </c>
      <c r="B1" s="2" t="s">
        <v>315</v>
      </c>
      <c r="C1" s="2" t="s">
        <v>316</v>
      </c>
      <c r="D1" s="2" t="s">
        <v>317</v>
      </c>
      <c r="E1" s="2" t="s">
        <v>318</v>
      </c>
      <c r="F1" s="2" t="s">
        <v>319</v>
      </c>
      <c r="G1" s="2" t="s">
        <v>320</v>
      </c>
      <c r="H1" s="2" t="s">
        <v>321</v>
      </c>
      <c r="I1" s="2" t="s">
        <v>322</v>
      </c>
      <c r="J1" s="2" t="s">
        <v>323</v>
      </c>
      <c r="K1" s="2" t="s">
        <v>324</v>
      </c>
      <c r="L1" s="2" t="s">
        <v>325</v>
      </c>
      <c r="M1" s="2" t="s">
        <v>326</v>
      </c>
    </row>
    <row r="2" spans="1:13" ht="45.95" customHeight="1">
      <c r="A2" s="3" t="s">
        <v>10</v>
      </c>
      <c r="B2" s="3" t="s">
        <v>11</v>
      </c>
      <c r="C2" s="3" t="s">
        <v>11</v>
      </c>
      <c r="D2" s="3" t="s">
        <v>11</v>
      </c>
      <c r="E2" s="3" t="s">
        <v>11</v>
      </c>
      <c r="F2" s="3" t="s">
        <v>11</v>
      </c>
      <c r="G2" s="5">
        <v>0</v>
      </c>
      <c r="H2" s="5" t="str">
        <f t="shared" ref="H2:H33" si="0">IF(G2=1,2,"-")</f>
        <v>-</v>
      </c>
      <c r="I2" s="5" t="str">
        <f t="shared" ref="I2:I33" si="1">IF(G2=1,2,"-")</f>
        <v>-</v>
      </c>
      <c r="J2" s="5" t="str">
        <f t="shared" ref="J2:J33" si="2">IF(G2=1,2,"-")</f>
        <v>-</v>
      </c>
      <c r="K2" s="5" t="str">
        <f t="shared" ref="K2:K33" si="3">IF(G2=1,2,"-")</f>
        <v>-</v>
      </c>
      <c r="L2" s="5" t="str">
        <f t="shared" ref="L2:L33" si="4">IF(G2=1,1,"-")</f>
        <v>-</v>
      </c>
      <c r="M2" s="3" t="s">
        <v>342</v>
      </c>
    </row>
    <row r="3" spans="1:13" ht="45.95" customHeight="1">
      <c r="A3" s="3" t="s">
        <v>13</v>
      </c>
      <c r="B3" s="3" t="s">
        <v>11</v>
      </c>
      <c r="C3" s="3" t="s">
        <v>11</v>
      </c>
      <c r="D3" s="3" t="s">
        <v>11</v>
      </c>
      <c r="E3" s="3" t="s">
        <v>11</v>
      </c>
      <c r="F3" s="3" t="s">
        <v>11</v>
      </c>
      <c r="G3" s="5">
        <v>0</v>
      </c>
      <c r="H3" s="5" t="str">
        <f t="shared" si="0"/>
        <v>-</v>
      </c>
      <c r="I3" s="5" t="str">
        <f t="shared" si="1"/>
        <v>-</v>
      </c>
      <c r="J3" s="5" t="str">
        <f t="shared" si="2"/>
        <v>-</v>
      </c>
      <c r="K3" s="5" t="str">
        <f t="shared" si="3"/>
        <v>-</v>
      </c>
      <c r="L3" s="5" t="str">
        <f t="shared" si="4"/>
        <v>-</v>
      </c>
      <c r="M3" s="3" t="s">
        <v>342</v>
      </c>
    </row>
    <row r="4" spans="1:13" ht="45.95" customHeight="1">
      <c r="A4" s="3" t="s">
        <v>15</v>
      </c>
      <c r="B4" s="3" t="s">
        <v>11</v>
      </c>
      <c r="C4" s="3" t="s">
        <v>11</v>
      </c>
      <c r="D4" s="3" t="s">
        <v>11</v>
      </c>
      <c r="E4" s="3" t="s">
        <v>11</v>
      </c>
      <c r="F4" s="3" t="s">
        <v>11</v>
      </c>
      <c r="G4" s="5">
        <v>0</v>
      </c>
      <c r="H4" s="5" t="str">
        <f t="shared" si="0"/>
        <v>-</v>
      </c>
      <c r="I4" s="5" t="str">
        <f t="shared" si="1"/>
        <v>-</v>
      </c>
      <c r="J4" s="5" t="str">
        <f t="shared" si="2"/>
        <v>-</v>
      </c>
      <c r="K4" s="5" t="str">
        <f t="shared" si="3"/>
        <v>-</v>
      </c>
      <c r="L4" s="5" t="str">
        <f t="shared" si="4"/>
        <v>-</v>
      </c>
      <c r="M4" s="3" t="s">
        <v>342</v>
      </c>
    </row>
    <row r="5" spans="1:13" ht="45.95" customHeight="1">
      <c r="A5" s="3" t="s">
        <v>17</v>
      </c>
      <c r="B5" s="3" t="s">
        <v>18</v>
      </c>
      <c r="C5" s="3" t="s">
        <v>19</v>
      </c>
      <c r="D5" s="3" t="s">
        <v>20</v>
      </c>
      <c r="E5" s="3" t="s">
        <v>21</v>
      </c>
      <c r="F5" s="3" t="s">
        <v>22</v>
      </c>
      <c r="G5" s="5">
        <v>1</v>
      </c>
      <c r="H5" s="5">
        <f t="shared" si="0"/>
        <v>2</v>
      </c>
      <c r="I5" s="5">
        <f t="shared" si="1"/>
        <v>2</v>
      </c>
      <c r="J5" s="5">
        <f t="shared" si="2"/>
        <v>2</v>
      </c>
      <c r="K5" s="5">
        <f t="shared" si="3"/>
        <v>2</v>
      </c>
      <c r="L5" s="5">
        <f t="shared" si="4"/>
        <v>1</v>
      </c>
      <c r="M5" s="3" t="s">
        <v>343</v>
      </c>
    </row>
    <row r="6" spans="1:13" ht="45.95" customHeight="1">
      <c r="A6" s="3" t="s">
        <v>26</v>
      </c>
      <c r="B6" s="3" t="s">
        <v>27</v>
      </c>
      <c r="C6" s="3" t="s">
        <v>19</v>
      </c>
      <c r="D6" s="3" t="s">
        <v>20</v>
      </c>
      <c r="E6" s="3" t="s">
        <v>21</v>
      </c>
      <c r="F6" s="3" t="s">
        <v>22</v>
      </c>
      <c r="G6" s="5">
        <v>1</v>
      </c>
      <c r="H6" s="5">
        <f t="shared" si="0"/>
        <v>2</v>
      </c>
      <c r="I6" s="5">
        <f t="shared" si="1"/>
        <v>2</v>
      </c>
      <c r="J6" s="5">
        <f t="shared" si="2"/>
        <v>2</v>
      </c>
      <c r="K6" s="5">
        <f t="shared" si="3"/>
        <v>2</v>
      </c>
      <c r="L6" s="5">
        <f t="shared" si="4"/>
        <v>1</v>
      </c>
      <c r="M6" s="3" t="s">
        <v>343</v>
      </c>
    </row>
    <row r="7" spans="1:13" ht="45.95" customHeight="1">
      <c r="A7" s="3" t="s">
        <v>31</v>
      </c>
      <c r="B7" s="3" t="s">
        <v>32</v>
      </c>
      <c r="C7" s="3" t="s">
        <v>19</v>
      </c>
      <c r="D7" s="3" t="s">
        <v>20</v>
      </c>
      <c r="E7" s="3" t="s">
        <v>21</v>
      </c>
      <c r="F7" s="3" t="s">
        <v>22</v>
      </c>
      <c r="G7" s="5">
        <v>1</v>
      </c>
      <c r="H7" s="5">
        <f t="shared" si="0"/>
        <v>2</v>
      </c>
      <c r="I7" s="5">
        <f t="shared" si="1"/>
        <v>2</v>
      </c>
      <c r="J7" s="5">
        <f t="shared" si="2"/>
        <v>2</v>
      </c>
      <c r="K7" s="5">
        <f t="shared" si="3"/>
        <v>2</v>
      </c>
      <c r="L7" s="5">
        <f t="shared" si="4"/>
        <v>1</v>
      </c>
      <c r="M7" s="3" t="s">
        <v>343</v>
      </c>
    </row>
    <row r="8" spans="1:13" ht="45.95" customHeight="1">
      <c r="A8" s="3" t="s">
        <v>36</v>
      </c>
      <c r="B8" s="3" t="s">
        <v>37</v>
      </c>
      <c r="C8" s="3" t="s">
        <v>19</v>
      </c>
      <c r="D8" s="3" t="s">
        <v>20</v>
      </c>
      <c r="E8" s="3" t="s">
        <v>21</v>
      </c>
      <c r="F8" s="3" t="s">
        <v>22</v>
      </c>
      <c r="G8" s="5">
        <v>1</v>
      </c>
      <c r="H8" s="5">
        <f t="shared" si="0"/>
        <v>2</v>
      </c>
      <c r="I8" s="5">
        <f t="shared" si="1"/>
        <v>2</v>
      </c>
      <c r="J8" s="5">
        <f t="shared" si="2"/>
        <v>2</v>
      </c>
      <c r="K8" s="5">
        <f t="shared" si="3"/>
        <v>2</v>
      </c>
      <c r="L8" s="5">
        <f t="shared" si="4"/>
        <v>1</v>
      </c>
      <c r="M8" s="3" t="s">
        <v>343</v>
      </c>
    </row>
    <row r="9" spans="1:13" ht="45.95" customHeight="1">
      <c r="A9" s="3" t="s">
        <v>41</v>
      </c>
      <c r="B9" s="3" t="s">
        <v>42</v>
      </c>
      <c r="C9" s="3" t="s">
        <v>19</v>
      </c>
      <c r="D9" s="3" t="s">
        <v>20</v>
      </c>
      <c r="E9" s="3" t="s">
        <v>21</v>
      </c>
      <c r="F9" s="3" t="s">
        <v>22</v>
      </c>
      <c r="G9" s="5">
        <v>1</v>
      </c>
      <c r="H9" s="5">
        <f t="shared" si="0"/>
        <v>2</v>
      </c>
      <c r="I9" s="5">
        <f t="shared" si="1"/>
        <v>2</v>
      </c>
      <c r="J9" s="5">
        <f t="shared" si="2"/>
        <v>2</v>
      </c>
      <c r="K9" s="5">
        <f t="shared" si="3"/>
        <v>2</v>
      </c>
      <c r="L9" s="5">
        <f t="shared" si="4"/>
        <v>1</v>
      </c>
      <c r="M9" s="3" t="s">
        <v>343</v>
      </c>
    </row>
    <row r="10" spans="1:13" ht="45.95" customHeight="1">
      <c r="A10" s="3" t="s">
        <v>46</v>
      </c>
      <c r="B10" s="3" t="s">
        <v>47</v>
      </c>
      <c r="C10" s="3" t="s">
        <v>48</v>
      </c>
      <c r="D10" s="3" t="s">
        <v>20</v>
      </c>
      <c r="E10" s="3" t="s">
        <v>49</v>
      </c>
      <c r="F10" s="3" t="s">
        <v>22</v>
      </c>
      <c r="G10" s="5">
        <v>1</v>
      </c>
      <c r="H10" s="5">
        <f t="shared" si="0"/>
        <v>2</v>
      </c>
      <c r="I10" s="5">
        <f t="shared" si="1"/>
        <v>2</v>
      </c>
      <c r="J10" s="5">
        <f t="shared" si="2"/>
        <v>2</v>
      </c>
      <c r="K10" s="5">
        <f t="shared" si="3"/>
        <v>2</v>
      </c>
      <c r="L10" s="5">
        <f t="shared" si="4"/>
        <v>1</v>
      </c>
      <c r="M10" s="3" t="s">
        <v>343</v>
      </c>
    </row>
    <row r="11" spans="1:13" ht="45.95" customHeight="1">
      <c r="A11" s="3" t="s">
        <v>53</v>
      </c>
      <c r="B11" s="3" t="s">
        <v>11</v>
      </c>
      <c r="C11" s="3" t="s">
        <v>11</v>
      </c>
      <c r="D11" s="3" t="s">
        <v>11</v>
      </c>
      <c r="E11" s="3" t="s">
        <v>11</v>
      </c>
      <c r="F11" s="3" t="s">
        <v>11</v>
      </c>
      <c r="G11" s="5">
        <v>0</v>
      </c>
      <c r="H11" s="5" t="str">
        <f t="shared" si="0"/>
        <v>-</v>
      </c>
      <c r="I11" s="5" t="str">
        <f t="shared" si="1"/>
        <v>-</v>
      </c>
      <c r="J11" s="5" t="str">
        <f t="shared" si="2"/>
        <v>-</v>
      </c>
      <c r="K11" s="5" t="str">
        <f t="shared" si="3"/>
        <v>-</v>
      </c>
      <c r="L11" s="5" t="str">
        <f t="shared" si="4"/>
        <v>-</v>
      </c>
      <c r="M11" s="3" t="s">
        <v>342</v>
      </c>
    </row>
    <row r="12" spans="1:13" ht="45.95" customHeight="1">
      <c r="A12" s="3" t="s">
        <v>55</v>
      </c>
      <c r="B12" s="3" t="s">
        <v>11</v>
      </c>
      <c r="C12" s="3" t="s">
        <v>11</v>
      </c>
      <c r="D12" s="3" t="s">
        <v>11</v>
      </c>
      <c r="E12" s="3" t="s">
        <v>11</v>
      </c>
      <c r="F12" s="3" t="s">
        <v>11</v>
      </c>
      <c r="G12" s="5">
        <v>0</v>
      </c>
      <c r="H12" s="5" t="str">
        <f t="shared" si="0"/>
        <v>-</v>
      </c>
      <c r="I12" s="5" t="str">
        <f t="shared" si="1"/>
        <v>-</v>
      </c>
      <c r="J12" s="5" t="str">
        <f t="shared" si="2"/>
        <v>-</v>
      </c>
      <c r="K12" s="5" t="str">
        <f t="shared" si="3"/>
        <v>-</v>
      </c>
      <c r="L12" s="5" t="str">
        <f t="shared" si="4"/>
        <v>-</v>
      </c>
      <c r="M12" s="3" t="s">
        <v>342</v>
      </c>
    </row>
    <row r="13" spans="1:13" ht="45.95" customHeight="1">
      <c r="A13" s="3" t="s">
        <v>57</v>
      </c>
      <c r="B13" s="3" t="s">
        <v>11</v>
      </c>
      <c r="C13" s="3" t="s">
        <v>11</v>
      </c>
      <c r="D13" s="3" t="s">
        <v>11</v>
      </c>
      <c r="E13" s="3" t="s">
        <v>11</v>
      </c>
      <c r="F13" s="3" t="s">
        <v>11</v>
      </c>
      <c r="G13" s="5">
        <v>0</v>
      </c>
      <c r="H13" s="5" t="str">
        <f t="shared" si="0"/>
        <v>-</v>
      </c>
      <c r="I13" s="5" t="str">
        <f t="shared" si="1"/>
        <v>-</v>
      </c>
      <c r="J13" s="5" t="str">
        <f t="shared" si="2"/>
        <v>-</v>
      </c>
      <c r="K13" s="5" t="str">
        <f t="shared" si="3"/>
        <v>-</v>
      </c>
      <c r="L13" s="5" t="str">
        <f t="shared" si="4"/>
        <v>-</v>
      </c>
      <c r="M13" s="3" t="s">
        <v>342</v>
      </c>
    </row>
    <row r="14" spans="1:13" ht="45.95" customHeight="1">
      <c r="A14" s="3" t="s">
        <v>59</v>
      </c>
      <c r="B14" s="3" t="s">
        <v>60</v>
      </c>
      <c r="C14" s="3" t="s">
        <v>19</v>
      </c>
      <c r="D14" s="3" t="s">
        <v>20</v>
      </c>
      <c r="E14" s="3" t="s">
        <v>21</v>
      </c>
      <c r="F14" s="3" t="s">
        <v>61</v>
      </c>
      <c r="G14" s="5">
        <v>1</v>
      </c>
      <c r="H14" s="5">
        <f t="shared" si="0"/>
        <v>2</v>
      </c>
      <c r="I14" s="5">
        <f t="shared" si="1"/>
        <v>2</v>
      </c>
      <c r="J14" s="5">
        <f t="shared" si="2"/>
        <v>2</v>
      </c>
      <c r="K14" s="5">
        <f t="shared" si="3"/>
        <v>2</v>
      </c>
      <c r="L14" s="5">
        <f t="shared" si="4"/>
        <v>1</v>
      </c>
      <c r="M14" s="3" t="s">
        <v>343</v>
      </c>
    </row>
    <row r="15" spans="1:13" ht="45.95" customHeight="1">
      <c r="A15" s="3" t="s">
        <v>65</v>
      </c>
      <c r="B15" s="3" t="s">
        <v>66</v>
      </c>
      <c r="C15" s="3" t="s">
        <v>19</v>
      </c>
      <c r="D15" s="3" t="s">
        <v>20</v>
      </c>
      <c r="E15" s="3" t="s">
        <v>21</v>
      </c>
      <c r="F15" s="3" t="s">
        <v>61</v>
      </c>
      <c r="G15" s="5">
        <v>1</v>
      </c>
      <c r="H15" s="5">
        <f t="shared" si="0"/>
        <v>2</v>
      </c>
      <c r="I15" s="5">
        <f t="shared" si="1"/>
        <v>2</v>
      </c>
      <c r="J15" s="5">
        <f t="shared" si="2"/>
        <v>2</v>
      </c>
      <c r="K15" s="5">
        <f t="shared" si="3"/>
        <v>2</v>
      </c>
      <c r="L15" s="5">
        <f t="shared" si="4"/>
        <v>1</v>
      </c>
      <c r="M15" s="3" t="s">
        <v>343</v>
      </c>
    </row>
    <row r="16" spans="1:13" ht="45.95" customHeight="1">
      <c r="A16" s="3" t="s">
        <v>70</v>
      </c>
      <c r="B16" s="3" t="s">
        <v>71</v>
      </c>
      <c r="C16" s="3" t="s">
        <v>19</v>
      </c>
      <c r="D16" s="3" t="s">
        <v>20</v>
      </c>
      <c r="E16" s="3" t="s">
        <v>21</v>
      </c>
      <c r="F16" s="3" t="s">
        <v>61</v>
      </c>
      <c r="G16" s="5">
        <v>1</v>
      </c>
      <c r="H16" s="5">
        <f t="shared" si="0"/>
        <v>2</v>
      </c>
      <c r="I16" s="5">
        <f t="shared" si="1"/>
        <v>2</v>
      </c>
      <c r="J16" s="5">
        <f t="shared" si="2"/>
        <v>2</v>
      </c>
      <c r="K16" s="5">
        <f t="shared" si="3"/>
        <v>2</v>
      </c>
      <c r="L16" s="5">
        <f t="shared" si="4"/>
        <v>1</v>
      </c>
      <c r="M16" s="3" t="s">
        <v>343</v>
      </c>
    </row>
    <row r="17" spans="1:13" ht="45.95" customHeight="1">
      <c r="A17" s="3" t="s">
        <v>75</v>
      </c>
      <c r="B17" s="3" t="s">
        <v>76</v>
      </c>
      <c r="C17" s="3" t="s">
        <v>19</v>
      </c>
      <c r="D17" s="3" t="s">
        <v>20</v>
      </c>
      <c r="E17" s="3" t="s">
        <v>21</v>
      </c>
      <c r="F17" s="3" t="s">
        <v>61</v>
      </c>
      <c r="G17" s="5">
        <v>1</v>
      </c>
      <c r="H17" s="5">
        <f t="shared" si="0"/>
        <v>2</v>
      </c>
      <c r="I17" s="5">
        <f t="shared" si="1"/>
        <v>2</v>
      </c>
      <c r="J17" s="5">
        <f t="shared" si="2"/>
        <v>2</v>
      </c>
      <c r="K17" s="5">
        <f t="shared" si="3"/>
        <v>2</v>
      </c>
      <c r="L17" s="5">
        <f t="shared" si="4"/>
        <v>1</v>
      </c>
      <c r="M17" s="3" t="s">
        <v>343</v>
      </c>
    </row>
    <row r="18" spans="1:13" ht="45.95" customHeight="1">
      <c r="A18" s="3" t="s">
        <v>80</v>
      </c>
      <c r="B18" s="3" t="s">
        <v>87</v>
      </c>
      <c r="C18" s="3" t="s">
        <v>19</v>
      </c>
      <c r="D18" s="3" t="s">
        <v>20</v>
      </c>
      <c r="E18" s="3" t="s">
        <v>21</v>
      </c>
      <c r="F18" s="3" t="s">
        <v>61</v>
      </c>
      <c r="G18" s="5">
        <v>1</v>
      </c>
      <c r="H18" s="5">
        <f t="shared" si="0"/>
        <v>2</v>
      </c>
      <c r="I18" s="5">
        <f t="shared" si="1"/>
        <v>2</v>
      </c>
      <c r="J18" s="5">
        <f t="shared" si="2"/>
        <v>2</v>
      </c>
      <c r="K18" s="5">
        <f t="shared" si="3"/>
        <v>2</v>
      </c>
      <c r="L18" s="5">
        <f t="shared" si="4"/>
        <v>1</v>
      </c>
      <c r="M18" s="3" t="s">
        <v>344</v>
      </c>
    </row>
    <row r="19" spans="1:13" ht="45.95" customHeight="1">
      <c r="A19" s="3" t="s">
        <v>90</v>
      </c>
      <c r="B19" s="3" t="s">
        <v>91</v>
      </c>
      <c r="C19" s="3" t="s">
        <v>19</v>
      </c>
      <c r="D19" s="3" t="s">
        <v>20</v>
      </c>
      <c r="E19" s="3" t="s">
        <v>21</v>
      </c>
      <c r="F19" s="3" t="s">
        <v>61</v>
      </c>
      <c r="G19" s="5">
        <v>1</v>
      </c>
      <c r="H19" s="5">
        <f t="shared" si="0"/>
        <v>2</v>
      </c>
      <c r="I19" s="5">
        <f t="shared" si="1"/>
        <v>2</v>
      </c>
      <c r="J19" s="5">
        <f t="shared" si="2"/>
        <v>2</v>
      </c>
      <c r="K19" s="5">
        <f t="shared" si="3"/>
        <v>2</v>
      </c>
      <c r="L19" s="5">
        <f t="shared" si="4"/>
        <v>1</v>
      </c>
      <c r="M19" s="3" t="s">
        <v>343</v>
      </c>
    </row>
    <row r="20" spans="1:13" ht="45.95" customHeight="1">
      <c r="A20" s="3" t="s">
        <v>95</v>
      </c>
      <c r="B20" s="3" t="s">
        <v>11</v>
      </c>
      <c r="C20" s="3" t="s">
        <v>11</v>
      </c>
      <c r="D20" s="3" t="s">
        <v>11</v>
      </c>
      <c r="E20" s="3" t="s">
        <v>11</v>
      </c>
      <c r="F20" s="3" t="s">
        <v>11</v>
      </c>
      <c r="G20" s="5">
        <v>0</v>
      </c>
      <c r="H20" s="5" t="str">
        <f t="shared" si="0"/>
        <v>-</v>
      </c>
      <c r="I20" s="5" t="str">
        <f t="shared" si="1"/>
        <v>-</v>
      </c>
      <c r="J20" s="5" t="str">
        <f t="shared" si="2"/>
        <v>-</v>
      </c>
      <c r="K20" s="5" t="str">
        <f t="shared" si="3"/>
        <v>-</v>
      </c>
      <c r="L20" s="5" t="str">
        <f t="shared" si="4"/>
        <v>-</v>
      </c>
      <c r="M20" s="3" t="s">
        <v>345</v>
      </c>
    </row>
    <row r="21" spans="1:13" ht="45.95" customHeight="1">
      <c r="A21" s="3" t="s">
        <v>97</v>
      </c>
      <c r="B21" s="3" t="s">
        <v>11</v>
      </c>
      <c r="C21" s="3" t="s">
        <v>11</v>
      </c>
      <c r="D21" s="3" t="s">
        <v>11</v>
      </c>
      <c r="E21" s="3" t="s">
        <v>11</v>
      </c>
      <c r="F21" s="3" t="s">
        <v>11</v>
      </c>
      <c r="G21" s="5">
        <v>0</v>
      </c>
      <c r="H21" s="5" t="str">
        <f t="shared" si="0"/>
        <v>-</v>
      </c>
      <c r="I21" s="5" t="str">
        <f t="shared" si="1"/>
        <v>-</v>
      </c>
      <c r="J21" s="5" t="str">
        <f t="shared" si="2"/>
        <v>-</v>
      </c>
      <c r="K21" s="5" t="str">
        <f t="shared" si="3"/>
        <v>-</v>
      </c>
      <c r="L21" s="5" t="str">
        <f t="shared" si="4"/>
        <v>-</v>
      </c>
      <c r="M21" s="3" t="s">
        <v>345</v>
      </c>
    </row>
    <row r="22" spans="1:13" ht="45.95" customHeight="1">
      <c r="A22" s="3" t="s">
        <v>99</v>
      </c>
      <c r="B22" s="3" t="s">
        <v>11</v>
      </c>
      <c r="C22" s="3" t="s">
        <v>11</v>
      </c>
      <c r="D22" s="3" t="s">
        <v>11</v>
      </c>
      <c r="E22" s="3" t="s">
        <v>11</v>
      </c>
      <c r="F22" s="3" t="s">
        <v>11</v>
      </c>
      <c r="G22" s="5">
        <v>0</v>
      </c>
      <c r="H22" s="5" t="str">
        <f t="shared" si="0"/>
        <v>-</v>
      </c>
      <c r="I22" s="5" t="str">
        <f t="shared" si="1"/>
        <v>-</v>
      </c>
      <c r="J22" s="5" t="str">
        <f t="shared" si="2"/>
        <v>-</v>
      </c>
      <c r="K22" s="5" t="str">
        <f t="shared" si="3"/>
        <v>-</v>
      </c>
      <c r="L22" s="5" t="str">
        <f t="shared" si="4"/>
        <v>-</v>
      </c>
      <c r="M22" s="3" t="s">
        <v>345</v>
      </c>
    </row>
    <row r="23" spans="1:13" ht="45.95" customHeight="1">
      <c r="A23" s="3" t="s">
        <v>101</v>
      </c>
      <c r="B23" s="3" t="s">
        <v>102</v>
      </c>
      <c r="C23" s="3" t="s">
        <v>103</v>
      </c>
      <c r="D23" s="3" t="s">
        <v>20</v>
      </c>
      <c r="E23" s="3" t="s">
        <v>21</v>
      </c>
      <c r="F23" s="3" t="s">
        <v>104</v>
      </c>
      <c r="G23" s="5">
        <v>1</v>
      </c>
      <c r="H23" s="5">
        <f t="shared" si="0"/>
        <v>2</v>
      </c>
      <c r="I23" s="5">
        <f t="shared" si="1"/>
        <v>2</v>
      </c>
      <c r="J23" s="5">
        <f t="shared" si="2"/>
        <v>2</v>
      </c>
      <c r="K23" s="5">
        <f t="shared" si="3"/>
        <v>2</v>
      </c>
      <c r="L23" s="5">
        <f t="shared" si="4"/>
        <v>1</v>
      </c>
      <c r="M23" s="3" t="s">
        <v>343</v>
      </c>
    </row>
    <row r="24" spans="1:13" ht="45.95" customHeight="1">
      <c r="A24" s="3" t="s">
        <v>108</v>
      </c>
      <c r="B24" s="3" t="s">
        <v>109</v>
      </c>
      <c r="C24" s="3" t="s">
        <v>103</v>
      </c>
      <c r="D24" s="3" t="s">
        <v>20</v>
      </c>
      <c r="E24" s="3" t="s">
        <v>21</v>
      </c>
      <c r="F24" s="3" t="s">
        <v>104</v>
      </c>
      <c r="G24" s="5">
        <v>1</v>
      </c>
      <c r="H24" s="5">
        <f t="shared" si="0"/>
        <v>2</v>
      </c>
      <c r="I24" s="5">
        <f t="shared" si="1"/>
        <v>2</v>
      </c>
      <c r="J24" s="5">
        <f t="shared" si="2"/>
        <v>2</v>
      </c>
      <c r="K24" s="5">
        <f t="shared" si="3"/>
        <v>2</v>
      </c>
      <c r="L24" s="5">
        <f t="shared" si="4"/>
        <v>1</v>
      </c>
      <c r="M24" s="3" t="s">
        <v>343</v>
      </c>
    </row>
    <row r="25" spans="1:13" ht="45.95" customHeight="1">
      <c r="A25" s="3" t="s">
        <v>113</v>
      </c>
      <c r="B25" s="3" t="s">
        <v>114</v>
      </c>
      <c r="C25" s="3" t="s">
        <v>103</v>
      </c>
      <c r="D25" s="3" t="s">
        <v>20</v>
      </c>
      <c r="E25" s="3" t="s">
        <v>21</v>
      </c>
      <c r="F25" s="3" t="s">
        <v>104</v>
      </c>
      <c r="G25" s="5">
        <v>1</v>
      </c>
      <c r="H25" s="5">
        <f t="shared" si="0"/>
        <v>2</v>
      </c>
      <c r="I25" s="5">
        <f t="shared" si="1"/>
        <v>2</v>
      </c>
      <c r="J25" s="5">
        <f t="shared" si="2"/>
        <v>2</v>
      </c>
      <c r="K25" s="5">
        <f t="shared" si="3"/>
        <v>2</v>
      </c>
      <c r="L25" s="5">
        <f t="shared" si="4"/>
        <v>1</v>
      </c>
      <c r="M25" s="3" t="s">
        <v>343</v>
      </c>
    </row>
    <row r="26" spans="1:13" ht="45.95" customHeight="1">
      <c r="A26" s="3" t="s">
        <v>118</v>
      </c>
      <c r="B26" s="3" t="s">
        <v>119</v>
      </c>
      <c r="C26" s="3" t="s">
        <v>103</v>
      </c>
      <c r="D26" s="3" t="s">
        <v>20</v>
      </c>
      <c r="E26" s="3" t="s">
        <v>21</v>
      </c>
      <c r="F26" s="3" t="s">
        <v>104</v>
      </c>
      <c r="G26" s="5">
        <v>1</v>
      </c>
      <c r="H26" s="5">
        <f t="shared" si="0"/>
        <v>2</v>
      </c>
      <c r="I26" s="5">
        <f t="shared" si="1"/>
        <v>2</v>
      </c>
      <c r="J26" s="5">
        <f t="shared" si="2"/>
        <v>2</v>
      </c>
      <c r="K26" s="5">
        <f t="shared" si="3"/>
        <v>2</v>
      </c>
      <c r="L26" s="5">
        <f t="shared" si="4"/>
        <v>1</v>
      </c>
      <c r="M26" s="3" t="s">
        <v>343</v>
      </c>
    </row>
    <row r="27" spans="1:13" ht="45.95" customHeight="1">
      <c r="A27" s="3" t="s">
        <v>123</v>
      </c>
      <c r="B27" s="3" t="s">
        <v>124</v>
      </c>
      <c r="C27" s="3" t="s">
        <v>103</v>
      </c>
      <c r="D27" s="3" t="s">
        <v>20</v>
      </c>
      <c r="E27" s="3" t="s">
        <v>21</v>
      </c>
      <c r="F27" s="3" t="s">
        <v>104</v>
      </c>
      <c r="G27" s="5">
        <v>1</v>
      </c>
      <c r="H27" s="5">
        <f t="shared" si="0"/>
        <v>2</v>
      </c>
      <c r="I27" s="5">
        <f t="shared" si="1"/>
        <v>2</v>
      </c>
      <c r="J27" s="5">
        <f t="shared" si="2"/>
        <v>2</v>
      </c>
      <c r="K27" s="5">
        <f t="shared" si="3"/>
        <v>2</v>
      </c>
      <c r="L27" s="5">
        <f t="shared" si="4"/>
        <v>1</v>
      </c>
      <c r="M27" s="3" t="s">
        <v>343</v>
      </c>
    </row>
    <row r="28" spans="1:13" ht="45.95" customHeight="1">
      <c r="A28" s="3" t="s">
        <v>128</v>
      </c>
      <c r="B28" s="3" t="s">
        <v>129</v>
      </c>
      <c r="C28" s="3" t="s">
        <v>103</v>
      </c>
      <c r="D28" s="3" t="s">
        <v>20</v>
      </c>
      <c r="E28" s="3" t="s">
        <v>21</v>
      </c>
      <c r="F28" s="3" t="s">
        <v>104</v>
      </c>
      <c r="G28" s="5">
        <v>1</v>
      </c>
      <c r="H28" s="5">
        <f t="shared" si="0"/>
        <v>2</v>
      </c>
      <c r="I28" s="5">
        <f t="shared" si="1"/>
        <v>2</v>
      </c>
      <c r="J28" s="5">
        <f t="shared" si="2"/>
        <v>2</v>
      </c>
      <c r="K28" s="5">
        <f t="shared" si="3"/>
        <v>2</v>
      </c>
      <c r="L28" s="5">
        <f t="shared" si="4"/>
        <v>1</v>
      </c>
      <c r="M28" s="3" t="s">
        <v>343</v>
      </c>
    </row>
    <row r="29" spans="1:13" ht="45.95" customHeight="1">
      <c r="A29" s="3" t="s">
        <v>133</v>
      </c>
      <c r="B29" s="3" t="s">
        <v>11</v>
      </c>
      <c r="C29" s="3" t="s">
        <v>11</v>
      </c>
      <c r="D29" s="3" t="s">
        <v>11</v>
      </c>
      <c r="E29" s="3" t="s">
        <v>11</v>
      </c>
      <c r="F29" s="3" t="s">
        <v>11</v>
      </c>
      <c r="G29" s="5">
        <v>0</v>
      </c>
      <c r="H29" s="5" t="str">
        <f t="shared" si="0"/>
        <v>-</v>
      </c>
      <c r="I29" s="5" t="str">
        <f t="shared" si="1"/>
        <v>-</v>
      </c>
      <c r="J29" s="5" t="str">
        <f t="shared" si="2"/>
        <v>-</v>
      </c>
      <c r="K29" s="5" t="str">
        <f t="shared" si="3"/>
        <v>-</v>
      </c>
      <c r="L29" s="5" t="str">
        <f t="shared" si="4"/>
        <v>-</v>
      </c>
      <c r="M29" s="3" t="s">
        <v>345</v>
      </c>
    </row>
    <row r="30" spans="1:13" ht="45.95" customHeight="1">
      <c r="A30" s="3" t="s">
        <v>135</v>
      </c>
      <c r="B30" s="3" t="s">
        <v>11</v>
      </c>
      <c r="C30" s="3" t="s">
        <v>11</v>
      </c>
      <c r="D30" s="3" t="s">
        <v>11</v>
      </c>
      <c r="E30" s="3" t="s">
        <v>11</v>
      </c>
      <c r="F30" s="3" t="s">
        <v>11</v>
      </c>
      <c r="G30" s="5">
        <v>0</v>
      </c>
      <c r="H30" s="5" t="str">
        <f t="shared" si="0"/>
        <v>-</v>
      </c>
      <c r="I30" s="5" t="str">
        <f t="shared" si="1"/>
        <v>-</v>
      </c>
      <c r="J30" s="5" t="str">
        <f t="shared" si="2"/>
        <v>-</v>
      </c>
      <c r="K30" s="5" t="str">
        <f t="shared" si="3"/>
        <v>-</v>
      </c>
      <c r="L30" s="5" t="str">
        <f t="shared" si="4"/>
        <v>-</v>
      </c>
      <c r="M30" s="3" t="s">
        <v>345</v>
      </c>
    </row>
    <row r="31" spans="1:13" ht="45.95" customHeight="1">
      <c r="A31" s="3" t="s">
        <v>137</v>
      </c>
      <c r="B31" s="3" t="s">
        <v>11</v>
      </c>
      <c r="C31" s="3" t="s">
        <v>11</v>
      </c>
      <c r="D31" s="3" t="s">
        <v>11</v>
      </c>
      <c r="E31" s="3" t="s">
        <v>11</v>
      </c>
      <c r="F31" s="3" t="s">
        <v>11</v>
      </c>
      <c r="G31" s="5">
        <v>0</v>
      </c>
      <c r="H31" s="5" t="str">
        <f t="shared" si="0"/>
        <v>-</v>
      </c>
      <c r="I31" s="5" t="str">
        <f t="shared" si="1"/>
        <v>-</v>
      </c>
      <c r="J31" s="5" t="str">
        <f t="shared" si="2"/>
        <v>-</v>
      </c>
      <c r="K31" s="5" t="str">
        <f t="shared" si="3"/>
        <v>-</v>
      </c>
      <c r="L31" s="5" t="str">
        <f t="shared" si="4"/>
        <v>-</v>
      </c>
      <c r="M31" s="3" t="s">
        <v>345</v>
      </c>
    </row>
    <row r="32" spans="1:13" ht="45.95" customHeight="1">
      <c r="A32" s="3" t="s">
        <v>139</v>
      </c>
      <c r="B32" s="3" t="s">
        <v>140</v>
      </c>
      <c r="C32" s="3" t="s">
        <v>103</v>
      </c>
      <c r="D32" s="3" t="s">
        <v>20</v>
      </c>
      <c r="E32" s="3" t="s">
        <v>21</v>
      </c>
      <c r="F32" s="3" t="s">
        <v>141</v>
      </c>
      <c r="G32" s="5">
        <v>1</v>
      </c>
      <c r="H32" s="5">
        <f t="shared" si="0"/>
        <v>2</v>
      </c>
      <c r="I32" s="5">
        <f t="shared" si="1"/>
        <v>2</v>
      </c>
      <c r="J32" s="5">
        <f t="shared" si="2"/>
        <v>2</v>
      </c>
      <c r="K32" s="5">
        <f t="shared" si="3"/>
        <v>2</v>
      </c>
      <c r="L32" s="5">
        <f t="shared" si="4"/>
        <v>1</v>
      </c>
      <c r="M32" s="3" t="s">
        <v>343</v>
      </c>
    </row>
    <row r="33" spans="1:13" ht="45.95" customHeight="1">
      <c r="A33" s="3" t="s">
        <v>144</v>
      </c>
      <c r="B33" s="3" t="s">
        <v>145</v>
      </c>
      <c r="C33" s="3" t="s">
        <v>103</v>
      </c>
      <c r="D33" s="3" t="s">
        <v>20</v>
      </c>
      <c r="E33" s="3" t="s">
        <v>21</v>
      </c>
      <c r="F33" s="3" t="s">
        <v>141</v>
      </c>
      <c r="G33" s="5">
        <v>1</v>
      </c>
      <c r="H33" s="5">
        <f t="shared" si="0"/>
        <v>2</v>
      </c>
      <c r="I33" s="5">
        <f t="shared" si="1"/>
        <v>2</v>
      </c>
      <c r="J33" s="5">
        <f t="shared" si="2"/>
        <v>2</v>
      </c>
      <c r="K33" s="5">
        <f t="shared" si="3"/>
        <v>2</v>
      </c>
      <c r="L33" s="5">
        <f t="shared" si="4"/>
        <v>1</v>
      </c>
      <c r="M33" s="3" t="s">
        <v>343</v>
      </c>
    </row>
    <row r="34" spans="1:13" ht="45.95" customHeight="1">
      <c r="A34" s="3" t="s">
        <v>148</v>
      </c>
      <c r="B34" s="3" t="s">
        <v>149</v>
      </c>
      <c r="C34" s="3" t="s">
        <v>103</v>
      </c>
      <c r="D34" s="3" t="s">
        <v>20</v>
      </c>
      <c r="E34" s="3" t="s">
        <v>21</v>
      </c>
      <c r="F34" s="3" t="s">
        <v>141</v>
      </c>
      <c r="G34" s="5">
        <v>1</v>
      </c>
      <c r="H34" s="5">
        <f t="shared" ref="H34:H65" si="5">IF(G34=1,2,"-")</f>
        <v>2</v>
      </c>
      <c r="I34" s="5">
        <f t="shared" ref="I34:I65" si="6">IF(G34=1,2,"-")</f>
        <v>2</v>
      </c>
      <c r="J34" s="5">
        <f t="shared" ref="J34:J65" si="7">IF(G34=1,2,"-")</f>
        <v>2</v>
      </c>
      <c r="K34" s="5">
        <f t="shared" ref="K34:K65" si="8">IF(G34=1,2,"-")</f>
        <v>2</v>
      </c>
      <c r="L34" s="5">
        <f t="shared" ref="L34:L65" si="9">IF(G34=1,1,"-")</f>
        <v>1</v>
      </c>
      <c r="M34" s="3" t="s">
        <v>343</v>
      </c>
    </row>
    <row r="35" spans="1:13" ht="45.95" customHeight="1">
      <c r="A35" s="3" t="s">
        <v>152</v>
      </c>
      <c r="B35" s="3" t="s">
        <v>153</v>
      </c>
      <c r="C35" s="3" t="s">
        <v>103</v>
      </c>
      <c r="D35" s="3" t="s">
        <v>20</v>
      </c>
      <c r="E35" s="3" t="s">
        <v>21</v>
      </c>
      <c r="F35" s="3" t="s">
        <v>141</v>
      </c>
      <c r="G35" s="5">
        <v>1</v>
      </c>
      <c r="H35" s="5">
        <f t="shared" si="5"/>
        <v>2</v>
      </c>
      <c r="I35" s="5">
        <f t="shared" si="6"/>
        <v>2</v>
      </c>
      <c r="J35" s="5">
        <f t="shared" si="7"/>
        <v>2</v>
      </c>
      <c r="K35" s="5">
        <f t="shared" si="8"/>
        <v>2</v>
      </c>
      <c r="L35" s="5">
        <f t="shared" si="9"/>
        <v>1</v>
      </c>
      <c r="M35" s="3" t="s">
        <v>343</v>
      </c>
    </row>
    <row r="36" spans="1:13" ht="45.95" customHeight="1">
      <c r="A36" s="3" t="s">
        <v>157</v>
      </c>
      <c r="B36" s="3" t="s">
        <v>158</v>
      </c>
      <c r="C36" s="3" t="s">
        <v>103</v>
      </c>
      <c r="D36" s="3" t="s">
        <v>20</v>
      </c>
      <c r="E36" s="3" t="s">
        <v>21</v>
      </c>
      <c r="F36" s="3" t="s">
        <v>141</v>
      </c>
      <c r="G36" s="5">
        <v>1</v>
      </c>
      <c r="H36" s="5">
        <f t="shared" si="5"/>
        <v>2</v>
      </c>
      <c r="I36" s="5">
        <f t="shared" si="6"/>
        <v>2</v>
      </c>
      <c r="J36" s="5">
        <f t="shared" si="7"/>
        <v>2</v>
      </c>
      <c r="K36" s="5">
        <f t="shared" si="8"/>
        <v>2</v>
      </c>
      <c r="L36" s="5">
        <f t="shared" si="9"/>
        <v>1</v>
      </c>
      <c r="M36" s="3" t="s">
        <v>343</v>
      </c>
    </row>
    <row r="37" spans="1:13" ht="45.95" customHeight="1">
      <c r="A37" s="3" t="s">
        <v>161</v>
      </c>
      <c r="B37" s="3" t="s">
        <v>162</v>
      </c>
      <c r="C37" s="3" t="s">
        <v>103</v>
      </c>
      <c r="D37" s="3" t="s">
        <v>20</v>
      </c>
      <c r="E37" s="3" t="s">
        <v>21</v>
      </c>
      <c r="F37" s="3" t="s">
        <v>141</v>
      </c>
      <c r="G37" s="5">
        <v>1</v>
      </c>
      <c r="H37" s="5">
        <f t="shared" si="5"/>
        <v>2</v>
      </c>
      <c r="I37" s="5">
        <f t="shared" si="6"/>
        <v>2</v>
      </c>
      <c r="J37" s="5">
        <f t="shared" si="7"/>
        <v>2</v>
      </c>
      <c r="K37" s="5">
        <f t="shared" si="8"/>
        <v>2</v>
      </c>
      <c r="L37" s="5">
        <f t="shared" si="9"/>
        <v>1</v>
      </c>
      <c r="M37" s="3" t="s">
        <v>343</v>
      </c>
    </row>
    <row r="38" spans="1:13" ht="45.95" customHeight="1">
      <c r="A38" s="3" t="s">
        <v>166</v>
      </c>
      <c r="B38" s="3" t="s">
        <v>11</v>
      </c>
      <c r="C38" s="3" t="s">
        <v>11</v>
      </c>
      <c r="D38" s="3" t="s">
        <v>11</v>
      </c>
      <c r="E38" s="3" t="s">
        <v>11</v>
      </c>
      <c r="F38" s="3" t="s">
        <v>11</v>
      </c>
      <c r="G38" s="5">
        <v>0</v>
      </c>
      <c r="H38" s="5" t="str">
        <f t="shared" si="5"/>
        <v>-</v>
      </c>
      <c r="I38" s="5" t="str">
        <f t="shared" si="6"/>
        <v>-</v>
      </c>
      <c r="J38" s="5" t="str">
        <f t="shared" si="7"/>
        <v>-</v>
      </c>
      <c r="K38" s="5" t="str">
        <f t="shared" si="8"/>
        <v>-</v>
      </c>
      <c r="L38" s="5" t="str">
        <f t="shared" si="9"/>
        <v>-</v>
      </c>
      <c r="M38" s="3" t="s">
        <v>346</v>
      </c>
    </row>
    <row r="39" spans="1:13" ht="45.95" customHeight="1">
      <c r="A39" s="3" t="s">
        <v>168</v>
      </c>
      <c r="B39" s="3" t="s">
        <v>11</v>
      </c>
      <c r="C39" s="3" t="s">
        <v>11</v>
      </c>
      <c r="D39" s="3" t="s">
        <v>11</v>
      </c>
      <c r="E39" s="3" t="s">
        <v>11</v>
      </c>
      <c r="F39" s="3" t="s">
        <v>11</v>
      </c>
      <c r="G39" s="5">
        <v>0</v>
      </c>
      <c r="H39" s="5" t="str">
        <f t="shared" si="5"/>
        <v>-</v>
      </c>
      <c r="I39" s="5" t="str">
        <f t="shared" si="6"/>
        <v>-</v>
      </c>
      <c r="J39" s="5" t="str">
        <f t="shared" si="7"/>
        <v>-</v>
      </c>
      <c r="K39" s="5" t="str">
        <f t="shared" si="8"/>
        <v>-</v>
      </c>
      <c r="L39" s="5" t="str">
        <f t="shared" si="9"/>
        <v>-</v>
      </c>
      <c r="M39" s="3" t="s">
        <v>346</v>
      </c>
    </row>
    <row r="40" spans="1:13" ht="45.95" customHeight="1">
      <c r="A40" s="3" t="s">
        <v>170</v>
      </c>
      <c r="B40" s="3" t="s">
        <v>11</v>
      </c>
      <c r="C40" s="3" t="s">
        <v>11</v>
      </c>
      <c r="D40" s="3" t="s">
        <v>11</v>
      </c>
      <c r="E40" s="3" t="s">
        <v>11</v>
      </c>
      <c r="F40" s="3" t="s">
        <v>11</v>
      </c>
      <c r="G40" s="5">
        <v>0</v>
      </c>
      <c r="H40" s="5" t="str">
        <f t="shared" si="5"/>
        <v>-</v>
      </c>
      <c r="I40" s="5" t="str">
        <f t="shared" si="6"/>
        <v>-</v>
      </c>
      <c r="J40" s="5" t="str">
        <f t="shared" si="7"/>
        <v>-</v>
      </c>
      <c r="K40" s="5" t="str">
        <f t="shared" si="8"/>
        <v>-</v>
      </c>
      <c r="L40" s="5" t="str">
        <f t="shared" si="9"/>
        <v>-</v>
      </c>
      <c r="M40" s="3" t="s">
        <v>346</v>
      </c>
    </row>
    <row r="41" spans="1:13" ht="45.95" customHeight="1">
      <c r="A41" s="3" t="s">
        <v>172</v>
      </c>
      <c r="B41" s="3" t="s">
        <v>173</v>
      </c>
      <c r="C41" s="3" t="s">
        <v>174</v>
      </c>
      <c r="D41" s="3" t="s">
        <v>20</v>
      </c>
      <c r="E41" s="3" t="s">
        <v>21</v>
      </c>
      <c r="F41" s="3" t="s">
        <v>175</v>
      </c>
      <c r="G41" s="5">
        <v>1</v>
      </c>
      <c r="H41" s="5">
        <f t="shared" si="5"/>
        <v>2</v>
      </c>
      <c r="I41" s="5">
        <f t="shared" si="6"/>
        <v>2</v>
      </c>
      <c r="J41" s="5">
        <f t="shared" si="7"/>
        <v>2</v>
      </c>
      <c r="K41" s="5">
        <f t="shared" si="8"/>
        <v>2</v>
      </c>
      <c r="L41" s="5">
        <f t="shared" si="9"/>
        <v>1</v>
      </c>
      <c r="M41" s="3" t="s">
        <v>343</v>
      </c>
    </row>
    <row r="42" spans="1:13" ht="45.95" customHeight="1">
      <c r="A42" s="3" t="s">
        <v>179</v>
      </c>
      <c r="B42" s="3" t="s">
        <v>180</v>
      </c>
      <c r="C42" s="3" t="s">
        <v>174</v>
      </c>
      <c r="D42" s="3" t="s">
        <v>20</v>
      </c>
      <c r="E42" s="3" t="s">
        <v>21</v>
      </c>
      <c r="F42" s="3" t="s">
        <v>175</v>
      </c>
      <c r="G42" s="5">
        <v>1</v>
      </c>
      <c r="H42" s="5">
        <f t="shared" si="5"/>
        <v>2</v>
      </c>
      <c r="I42" s="5">
        <f t="shared" si="6"/>
        <v>2</v>
      </c>
      <c r="J42" s="5">
        <f t="shared" si="7"/>
        <v>2</v>
      </c>
      <c r="K42" s="5">
        <f t="shared" si="8"/>
        <v>2</v>
      </c>
      <c r="L42" s="5">
        <f t="shared" si="9"/>
        <v>1</v>
      </c>
      <c r="M42" s="3" t="s">
        <v>343</v>
      </c>
    </row>
    <row r="43" spans="1:13" ht="45.95" customHeight="1">
      <c r="A43" s="3" t="s">
        <v>184</v>
      </c>
      <c r="B43" s="3" t="s">
        <v>185</v>
      </c>
      <c r="C43" s="3" t="s">
        <v>174</v>
      </c>
      <c r="D43" s="3" t="s">
        <v>20</v>
      </c>
      <c r="E43" s="3" t="s">
        <v>21</v>
      </c>
      <c r="F43" s="3" t="s">
        <v>175</v>
      </c>
      <c r="G43" s="5">
        <v>1</v>
      </c>
      <c r="H43" s="5">
        <f t="shared" si="5"/>
        <v>2</v>
      </c>
      <c r="I43" s="5">
        <f t="shared" si="6"/>
        <v>2</v>
      </c>
      <c r="J43" s="5">
        <f t="shared" si="7"/>
        <v>2</v>
      </c>
      <c r="K43" s="5">
        <f t="shared" si="8"/>
        <v>2</v>
      </c>
      <c r="L43" s="5">
        <f t="shared" si="9"/>
        <v>1</v>
      </c>
      <c r="M43" s="3" t="s">
        <v>343</v>
      </c>
    </row>
    <row r="44" spans="1:13" ht="45.95" customHeight="1">
      <c r="A44" s="3" t="s">
        <v>189</v>
      </c>
      <c r="B44" s="3" t="s">
        <v>190</v>
      </c>
      <c r="C44" s="3" t="s">
        <v>174</v>
      </c>
      <c r="D44" s="3" t="s">
        <v>20</v>
      </c>
      <c r="E44" s="3" t="s">
        <v>21</v>
      </c>
      <c r="F44" s="3" t="s">
        <v>175</v>
      </c>
      <c r="G44" s="5">
        <v>1</v>
      </c>
      <c r="H44" s="5">
        <f t="shared" si="5"/>
        <v>2</v>
      </c>
      <c r="I44" s="5">
        <f t="shared" si="6"/>
        <v>2</v>
      </c>
      <c r="J44" s="5">
        <f t="shared" si="7"/>
        <v>2</v>
      </c>
      <c r="K44" s="5">
        <f t="shared" si="8"/>
        <v>2</v>
      </c>
      <c r="L44" s="5">
        <f t="shared" si="9"/>
        <v>1</v>
      </c>
      <c r="M44" s="3" t="s">
        <v>343</v>
      </c>
    </row>
    <row r="45" spans="1:13" ht="45.95" customHeight="1">
      <c r="A45" s="3" t="s">
        <v>194</v>
      </c>
      <c r="B45" s="3" t="s">
        <v>195</v>
      </c>
      <c r="C45" s="3" t="s">
        <v>174</v>
      </c>
      <c r="D45" s="3" t="s">
        <v>20</v>
      </c>
      <c r="E45" s="3" t="s">
        <v>21</v>
      </c>
      <c r="F45" s="3" t="s">
        <v>175</v>
      </c>
      <c r="G45" s="5">
        <v>1</v>
      </c>
      <c r="H45" s="5">
        <f t="shared" si="5"/>
        <v>2</v>
      </c>
      <c r="I45" s="5">
        <f t="shared" si="6"/>
        <v>2</v>
      </c>
      <c r="J45" s="5">
        <f t="shared" si="7"/>
        <v>2</v>
      </c>
      <c r="K45" s="5">
        <f t="shared" si="8"/>
        <v>2</v>
      </c>
      <c r="L45" s="5">
        <f t="shared" si="9"/>
        <v>1</v>
      </c>
      <c r="M45" s="3" t="s">
        <v>343</v>
      </c>
    </row>
    <row r="46" spans="1:13" ht="45.95" customHeight="1">
      <c r="A46" s="3" t="s">
        <v>199</v>
      </c>
      <c r="B46" s="3" t="s">
        <v>200</v>
      </c>
      <c r="C46" s="3" t="s">
        <v>174</v>
      </c>
      <c r="D46" s="3" t="s">
        <v>20</v>
      </c>
      <c r="E46" s="3" t="s">
        <v>21</v>
      </c>
      <c r="F46" s="3" t="s">
        <v>175</v>
      </c>
      <c r="G46" s="5">
        <v>1</v>
      </c>
      <c r="H46" s="5">
        <f t="shared" si="5"/>
        <v>2</v>
      </c>
      <c r="I46" s="5">
        <f t="shared" si="6"/>
        <v>2</v>
      </c>
      <c r="J46" s="5">
        <f t="shared" si="7"/>
        <v>2</v>
      </c>
      <c r="K46" s="5">
        <f t="shared" si="8"/>
        <v>2</v>
      </c>
      <c r="L46" s="5">
        <f t="shared" si="9"/>
        <v>1</v>
      </c>
      <c r="M46" s="3" t="s">
        <v>343</v>
      </c>
    </row>
    <row r="47" spans="1:13" ht="45.95" customHeight="1">
      <c r="A47" s="3" t="s">
        <v>204</v>
      </c>
      <c r="B47" s="3" t="s">
        <v>11</v>
      </c>
      <c r="C47" s="3" t="s">
        <v>11</v>
      </c>
      <c r="D47" s="3" t="s">
        <v>11</v>
      </c>
      <c r="E47" s="3" t="s">
        <v>11</v>
      </c>
      <c r="F47" s="3" t="s">
        <v>11</v>
      </c>
      <c r="G47" s="5">
        <v>0</v>
      </c>
      <c r="H47" s="5" t="str">
        <f t="shared" si="5"/>
        <v>-</v>
      </c>
      <c r="I47" s="5" t="str">
        <f t="shared" si="6"/>
        <v>-</v>
      </c>
      <c r="J47" s="5" t="str">
        <f t="shared" si="7"/>
        <v>-</v>
      </c>
      <c r="K47" s="5" t="str">
        <f t="shared" si="8"/>
        <v>-</v>
      </c>
      <c r="L47" s="5" t="str">
        <f t="shared" si="9"/>
        <v>-</v>
      </c>
      <c r="M47" s="3" t="s">
        <v>346</v>
      </c>
    </row>
    <row r="48" spans="1:13" ht="45.95" customHeight="1">
      <c r="A48" s="3" t="s">
        <v>206</v>
      </c>
      <c r="B48" s="3" t="s">
        <v>11</v>
      </c>
      <c r="C48" s="3" t="s">
        <v>11</v>
      </c>
      <c r="D48" s="3" t="s">
        <v>11</v>
      </c>
      <c r="E48" s="3" t="s">
        <v>11</v>
      </c>
      <c r="F48" s="3" t="s">
        <v>11</v>
      </c>
      <c r="G48" s="5">
        <v>0</v>
      </c>
      <c r="H48" s="5" t="str">
        <f t="shared" si="5"/>
        <v>-</v>
      </c>
      <c r="I48" s="5" t="str">
        <f t="shared" si="6"/>
        <v>-</v>
      </c>
      <c r="J48" s="5" t="str">
        <f t="shared" si="7"/>
        <v>-</v>
      </c>
      <c r="K48" s="5" t="str">
        <f t="shared" si="8"/>
        <v>-</v>
      </c>
      <c r="L48" s="5" t="str">
        <f t="shared" si="9"/>
        <v>-</v>
      </c>
      <c r="M48" s="3" t="s">
        <v>346</v>
      </c>
    </row>
    <row r="49" spans="1:13" ht="45.95" customHeight="1">
      <c r="A49" s="3" t="s">
        <v>208</v>
      </c>
      <c r="B49" s="3" t="s">
        <v>11</v>
      </c>
      <c r="C49" s="3" t="s">
        <v>11</v>
      </c>
      <c r="D49" s="3" t="s">
        <v>11</v>
      </c>
      <c r="E49" s="3" t="s">
        <v>11</v>
      </c>
      <c r="F49" s="3" t="s">
        <v>11</v>
      </c>
      <c r="G49" s="5">
        <v>0</v>
      </c>
      <c r="H49" s="5" t="str">
        <f t="shared" si="5"/>
        <v>-</v>
      </c>
      <c r="I49" s="5" t="str">
        <f t="shared" si="6"/>
        <v>-</v>
      </c>
      <c r="J49" s="5" t="str">
        <f t="shared" si="7"/>
        <v>-</v>
      </c>
      <c r="K49" s="5" t="str">
        <f t="shared" si="8"/>
        <v>-</v>
      </c>
      <c r="L49" s="5" t="str">
        <f t="shared" si="9"/>
        <v>-</v>
      </c>
      <c r="M49" s="3" t="s">
        <v>346</v>
      </c>
    </row>
    <row r="50" spans="1:13" ht="45.95" customHeight="1">
      <c r="A50" s="3" t="s">
        <v>210</v>
      </c>
      <c r="B50" s="3" t="s">
        <v>211</v>
      </c>
      <c r="C50" s="3" t="s">
        <v>174</v>
      </c>
      <c r="D50" s="3" t="s">
        <v>20</v>
      </c>
      <c r="E50" s="3" t="s">
        <v>21</v>
      </c>
      <c r="F50" s="3" t="s">
        <v>212</v>
      </c>
      <c r="G50" s="5">
        <v>1</v>
      </c>
      <c r="H50" s="5">
        <f t="shared" si="5"/>
        <v>2</v>
      </c>
      <c r="I50" s="5">
        <f t="shared" si="6"/>
        <v>2</v>
      </c>
      <c r="J50" s="5">
        <f t="shared" si="7"/>
        <v>2</v>
      </c>
      <c r="K50" s="5">
        <f t="shared" si="8"/>
        <v>2</v>
      </c>
      <c r="L50" s="5">
        <f t="shared" si="9"/>
        <v>1</v>
      </c>
      <c r="M50" s="3" t="s">
        <v>343</v>
      </c>
    </row>
    <row r="51" spans="1:13" ht="45.95" customHeight="1">
      <c r="A51" s="3" t="s">
        <v>216</v>
      </c>
      <c r="B51" s="3" t="s">
        <v>217</v>
      </c>
      <c r="C51" s="3" t="s">
        <v>174</v>
      </c>
      <c r="D51" s="3" t="s">
        <v>20</v>
      </c>
      <c r="E51" s="3" t="s">
        <v>21</v>
      </c>
      <c r="F51" s="3" t="s">
        <v>212</v>
      </c>
      <c r="G51" s="5">
        <v>1</v>
      </c>
      <c r="H51" s="5">
        <f t="shared" si="5"/>
        <v>2</v>
      </c>
      <c r="I51" s="5">
        <f t="shared" si="6"/>
        <v>2</v>
      </c>
      <c r="J51" s="5">
        <f t="shared" si="7"/>
        <v>2</v>
      </c>
      <c r="K51" s="5">
        <f t="shared" si="8"/>
        <v>2</v>
      </c>
      <c r="L51" s="5">
        <f t="shared" si="9"/>
        <v>1</v>
      </c>
      <c r="M51" s="3" t="s">
        <v>343</v>
      </c>
    </row>
    <row r="52" spans="1:13" ht="45.95" customHeight="1">
      <c r="A52" s="3" t="s">
        <v>221</v>
      </c>
      <c r="B52" s="3" t="s">
        <v>222</v>
      </c>
      <c r="C52" s="3" t="s">
        <v>174</v>
      </c>
      <c r="D52" s="3" t="s">
        <v>20</v>
      </c>
      <c r="E52" s="3" t="s">
        <v>21</v>
      </c>
      <c r="F52" s="3" t="s">
        <v>212</v>
      </c>
      <c r="G52" s="5">
        <v>1</v>
      </c>
      <c r="H52" s="5">
        <f t="shared" si="5"/>
        <v>2</v>
      </c>
      <c r="I52" s="5">
        <f t="shared" si="6"/>
        <v>2</v>
      </c>
      <c r="J52" s="5">
        <f t="shared" si="7"/>
        <v>2</v>
      </c>
      <c r="K52" s="5">
        <f t="shared" si="8"/>
        <v>2</v>
      </c>
      <c r="L52" s="5">
        <f t="shared" si="9"/>
        <v>1</v>
      </c>
      <c r="M52" s="3" t="s">
        <v>343</v>
      </c>
    </row>
    <row r="53" spans="1:13" ht="45.95" customHeight="1">
      <c r="A53" s="3" t="s">
        <v>226</v>
      </c>
      <c r="B53" s="3" t="s">
        <v>227</v>
      </c>
      <c r="C53" s="3" t="s">
        <v>174</v>
      </c>
      <c r="D53" s="3" t="s">
        <v>20</v>
      </c>
      <c r="E53" s="3" t="s">
        <v>21</v>
      </c>
      <c r="F53" s="3" t="s">
        <v>212</v>
      </c>
      <c r="G53" s="5">
        <v>1</v>
      </c>
      <c r="H53" s="5">
        <f t="shared" si="5"/>
        <v>2</v>
      </c>
      <c r="I53" s="5">
        <f t="shared" si="6"/>
        <v>2</v>
      </c>
      <c r="J53" s="5">
        <f t="shared" si="7"/>
        <v>2</v>
      </c>
      <c r="K53" s="5">
        <f t="shared" si="8"/>
        <v>2</v>
      </c>
      <c r="L53" s="5">
        <f t="shared" si="9"/>
        <v>1</v>
      </c>
      <c r="M53" s="3" t="s">
        <v>343</v>
      </c>
    </row>
    <row r="54" spans="1:13" ht="45.95" customHeight="1">
      <c r="A54" s="3" t="s">
        <v>231</v>
      </c>
      <c r="B54" s="3" t="s">
        <v>232</v>
      </c>
      <c r="C54" s="3" t="s">
        <v>174</v>
      </c>
      <c r="D54" s="3" t="s">
        <v>20</v>
      </c>
      <c r="E54" s="3" t="s">
        <v>21</v>
      </c>
      <c r="F54" s="3" t="s">
        <v>212</v>
      </c>
      <c r="G54" s="5">
        <v>1</v>
      </c>
      <c r="H54" s="5">
        <f t="shared" si="5"/>
        <v>2</v>
      </c>
      <c r="I54" s="5">
        <f t="shared" si="6"/>
        <v>2</v>
      </c>
      <c r="J54" s="5">
        <f t="shared" si="7"/>
        <v>2</v>
      </c>
      <c r="K54" s="5">
        <f t="shared" si="8"/>
        <v>2</v>
      </c>
      <c r="L54" s="5">
        <f t="shared" si="9"/>
        <v>1</v>
      </c>
      <c r="M54" s="3" t="s">
        <v>343</v>
      </c>
    </row>
    <row r="55" spans="1:13" ht="45.95" customHeight="1">
      <c r="A55" s="3" t="s">
        <v>236</v>
      </c>
      <c r="B55" s="3" t="s">
        <v>237</v>
      </c>
      <c r="C55" s="3" t="s">
        <v>174</v>
      </c>
      <c r="D55" s="3" t="s">
        <v>20</v>
      </c>
      <c r="E55" s="3" t="s">
        <v>21</v>
      </c>
      <c r="F55" s="3" t="s">
        <v>212</v>
      </c>
      <c r="G55" s="5">
        <v>1</v>
      </c>
      <c r="H55" s="5">
        <f t="shared" si="5"/>
        <v>2</v>
      </c>
      <c r="I55" s="5">
        <f t="shared" si="6"/>
        <v>2</v>
      </c>
      <c r="J55" s="5">
        <f t="shared" si="7"/>
        <v>2</v>
      </c>
      <c r="K55" s="5">
        <f t="shared" si="8"/>
        <v>2</v>
      </c>
      <c r="L55" s="5">
        <f t="shared" si="9"/>
        <v>1</v>
      </c>
      <c r="M55" s="3" t="s">
        <v>343</v>
      </c>
    </row>
    <row r="56" spans="1:13" ht="45.95" customHeight="1">
      <c r="A56" s="3" t="s">
        <v>241</v>
      </c>
      <c r="B56" s="3" t="s">
        <v>11</v>
      </c>
      <c r="C56" s="3" t="s">
        <v>11</v>
      </c>
      <c r="D56" s="3" t="s">
        <v>11</v>
      </c>
      <c r="E56" s="3" t="s">
        <v>11</v>
      </c>
      <c r="F56" s="3" t="s">
        <v>11</v>
      </c>
      <c r="G56" s="5">
        <v>0</v>
      </c>
      <c r="H56" s="5" t="str">
        <f t="shared" si="5"/>
        <v>-</v>
      </c>
      <c r="I56" s="5" t="str">
        <f t="shared" si="6"/>
        <v>-</v>
      </c>
      <c r="J56" s="5" t="str">
        <f t="shared" si="7"/>
        <v>-</v>
      </c>
      <c r="K56" s="5" t="str">
        <f t="shared" si="8"/>
        <v>-</v>
      </c>
      <c r="L56" s="5" t="str">
        <f t="shared" si="9"/>
        <v>-</v>
      </c>
      <c r="M56" s="3" t="s">
        <v>347</v>
      </c>
    </row>
    <row r="57" spans="1:13" ht="45.95" customHeight="1">
      <c r="A57" s="3" t="s">
        <v>243</v>
      </c>
      <c r="B57" s="3" t="s">
        <v>11</v>
      </c>
      <c r="C57" s="3" t="s">
        <v>11</v>
      </c>
      <c r="D57" s="3" t="s">
        <v>11</v>
      </c>
      <c r="E57" s="3" t="s">
        <v>11</v>
      </c>
      <c r="F57" s="3" t="s">
        <v>11</v>
      </c>
      <c r="G57" s="5">
        <v>0</v>
      </c>
      <c r="H57" s="5" t="str">
        <f t="shared" si="5"/>
        <v>-</v>
      </c>
      <c r="I57" s="5" t="str">
        <f t="shared" si="6"/>
        <v>-</v>
      </c>
      <c r="J57" s="5" t="str">
        <f t="shared" si="7"/>
        <v>-</v>
      </c>
      <c r="K57" s="5" t="str">
        <f t="shared" si="8"/>
        <v>-</v>
      </c>
      <c r="L57" s="5" t="str">
        <f t="shared" si="9"/>
        <v>-</v>
      </c>
      <c r="M57" s="3" t="s">
        <v>347</v>
      </c>
    </row>
    <row r="58" spans="1:13" ht="45.95" customHeight="1">
      <c r="A58" s="3" t="s">
        <v>245</v>
      </c>
      <c r="B58" s="3" t="s">
        <v>11</v>
      </c>
      <c r="C58" s="3" t="s">
        <v>11</v>
      </c>
      <c r="D58" s="3" t="s">
        <v>11</v>
      </c>
      <c r="E58" s="3" t="s">
        <v>11</v>
      </c>
      <c r="F58" s="3" t="s">
        <v>11</v>
      </c>
      <c r="G58" s="5">
        <v>0</v>
      </c>
      <c r="H58" s="5" t="str">
        <f t="shared" si="5"/>
        <v>-</v>
      </c>
      <c r="I58" s="5" t="str">
        <f t="shared" si="6"/>
        <v>-</v>
      </c>
      <c r="J58" s="5" t="str">
        <f t="shared" si="7"/>
        <v>-</v>
      </c>
      <c r="K58" s="5" t="str">
        <f t="shared" si="8"/>
        <v>-</v>
      </c>
      <c r="L58" s="5" t="str">
        <f t="shared" si="9"/>
        <v>-</v>
      </c>
      <c r="M58" s="3" t="s">
        <v>347</v>
      </c>
    </row>
    <row r="59" spans="1:13" ht="45.95" customHeight="1">
      <c r="A59" s="3" t="s">
        <v>247</v>
      </c>
      <c r="B59" s="3" t="s">
        <v>248</v>
      </c>
      <c r="C59" s="3" t="s">
        <v>249</v>
      </c>
      <c r="D59" s="3" t="s">
        <v>20</v>
      </c>
      <c r="E59" s="3" t="s">
        <v>21</v>
      </c>
      <c r="F59" s="3" t="s">
        <v>250</v>
      </c>
      <c r="G59" s="5">
        <v>1</v>
      </c>
      <c r="H59" s="5">
        <f t="shared" si="5"/>
        <v>2</v>
      </c>
      <c r="I59" s="5">
        <f t="shared" si="6"/>
        <v>2</v>
      </c>
      <c r="J59" s="5">
        <f t="shared" si="7"/>
        <v>2</v>
      </c>
      <c r="K59" s="5">
        <f t="shared" si="8"/>
        <v>2</v>
      </c>
      <c r="L59" s="5">
        <f t="shared" si="9"/>
        <v>1</v>
      </c>
      <c r="M59" s="3" t="s">
        <v>343</v>
      </c>
    </row>
    <row r="60" spans="1:13" ht="45.95" customHeight="1">
      <c r="A60" s="3" t="s">
        <v>254</v>
      </c>
      <c r="B60" s="3" t="s">
        <v>255</v>
      </c>
      <c r="C60" s="3" t="s">
        <v>249</v>
      </c>
      <c r="D60" s="3" t="s">
        <v>20</v>
      </c>
      <c r="E60" s="3" t="s">
        <v>21</v>
      </c>
      <c r="F60" s="3" t="s">
        <v>250</v>
      </c>
      <c r="G60" s="5">
        <v>1</v>
      </c>
      <c r="H60" s="5">
        <f t="shared" si="5"/>
        <v>2</v>
      </c>
      <c r="I60" s="5">
        <f t="shared" si="6"/>
        <v>2</v>
      </c>
      <c r="J60" s="5">
        <f t="shared" si="7"/>
        <v>2</v>
      </c>
      <c r="K60" s="5">
        <f t="shared" si="8"/>
        <v>2</v>
      </c>
      <c r="L60" s="5">
        <f t="shared" si="9"/>
        <v>1</v>
      </c>
      <c r="M60" s="3" t="s">
        <v>343</v>
      </c>
    </row>
    <row r="61" spans="1:13" ht="45.95" customHeight="1">
      <c r="A61" s="3" t="s">
        <v>259</v>
      </c>
      <c r="B61" s="3" t="s">
        <v>260</v>
      </c>
      <c r="C61" s="3" t="s">
        <v>249</v>
      </c>
      <c r="D61" s="3" t="s">
        <v>20</v>
      </c>
      <c r="E61" s="3" t="s">
        <v>21</v>
      </c>
      <c r="F61" s="3" t="s">
        <v>250</v>
      </c>
      <c r="G61" s="5">
        <v>1</v>
      </c>
      <c r="H61" s="5">
        <f t="shared" si="5"/>
        <v>2</v>
      </c>
      <c r="I61" s="5">
        <f t="shared" si="6"/>
        <v>2</v>
      </c>
      <c r="J61" s="5">
        <f t="shared" si="7"/>
        <v>2</v>
      </c>
      <c r="K61" s="5">
        <f t="shared" si="8"/>
        <v>2</v>
      </c>
      <c r="L61" s="5">
        <f t="shared" si="9"/>
        <v>1</v>
      </c>
      <c r="M61" s="3" t="s">
        <v>343</v>
      </c>
    </row>
    <row r="62" spans="1:13" ht="45.95" customHeight="1">
      <c r="A62" s="3" t="s">
        <v>264</v>
      </c>
      <c r="B62" s="3" t="s">
        <v>265</v>
      </c>
      <c r="C62" s="3" t="s">
        <v>249</v>
      </c>
      <c r="D62" s="3" t="s">
        <v>20</v>
      </c>
      <c r="E62" s="3" t="s">
        <v>21</v>
      </c>
      <c r="F62" s="3" t="s">
        <v>250</v>
      </c>
      <c r="G62" s="5">
        <v>1</v>
      </c>
      <c r="H62" s="5">
        <f t="shared" si="5"/>
        <v>2</v>
      </c>
      <c r="I62" s="5">
        <f t="shared" si="6"/>
        <v>2</v>
      </c>
      <c r="J62" s="5">
        <f t="shared" si="7"/>
        <v>2</v>
      </c>
      <c r="K62" s="5">
        <f t="shared" si="8"/>
        <v>2</v>
      </c>
      <c r="L62" s="5">
        <f t="shared" si="9"/>
        <v>1</v>
      </c>
      <c r="M62" s="3" t="s">
        <v>343</v>
      </c>
    </row>
    <row r="63" spans="1:13" ht="45.95" customHeight="1">
      <c r="A63" s="3" t="s">
        <v>269</v>
      </c>
      <c r="B63" s="3" t="s">
        <v>270</v>
      </c>
      <c r="C63" s="3" t="s">
        <v>249</v>
      </c>
      <c r="D63" s="3" t="s">
        <v>20</v>
      </c>
      <c r="E63" s="3" t="s">
        <v>21</v>
      </c>
      <c r="F63" s="3" t="s">
        <v>250</v>
      </c>
      <c r="G63" s="5">
        <v>1</v>
      </c>
      <c r="H63" s="5">
        <f t="shared" si="5"/>
        <v>2</v>
      </c>
      <c r="I63" s="5">
        <f t="shared" si="6"/>
        <v>2</v>
      </c>
      <c r="J63" s="5">
        <f t="shared" si="7"/>
        <v>2</v>
      </c>
      <c r="K63" s="5">
        <f t="shared" si="8"/>
        <v>2</v>
      </c>
      <c r="L63" s="5">
        <f t="shared" si="9"/>
        <v>1</v>
      </c>
      <c r="M63" s="3" t="s">
        <v>343</v>
      </c>
    </row>
    <row r="64" spans="1:13" ht="45.95" customHeight="1">
      <c r="A64" s="3" t="s">
        <v>274</v>
      </c>
      <c r="B64" s="3" t="s">
        <v>275</v>
      </c>
      <c r="C64" s="3" t="s">
        <v>249</v>
      </c>
      <c r="D64" s="3" t="s">
        <v>20</v>
      </c>
      <c r="E64" s="3" t="s">
        <v>21</v>
      </c>
      <c r="F64" s="3" t="s">
        <v>250</v>
      </c>
      <c r="G64" s="5">
        <v>1</v>
      </c>
      <c r="H64" s="5">
        <f t="shared" si="5"/>
        <v>2</v>
      </c>
      <c r="I64" s="5">
        <f t="shared" si="6"/>
        <v>2</v>
      </c>
      <c r="J64" s="5">
        <f t="shared" si="7"/>
        <v>2</v>
      </c>
      <c r="K64" s="5">
        <f t="shared" si="8"/>
        <v>2</v>
      </c>
      <c r="L64" s="5">
        <f t="shared" si="9"/>
        <v>1</v>
      </c>
      <c r="M64" s="3" t="s">
        <v>343</v>
      </c>
    </row>
    <row r="65" spans="1:13" ht="45.95" customHeight="1">
      <c r="A65" s="3" t="s">
        <v>279</v>
      </c>
      <c r="B65" s="3" t="s">
        <v>11</v>
      </c>
      <c r="C65" s="3" t="s">
        <v>11</v>
      </c>
      <c r="D65" s="3" t="s">
        <v>11</v>
      </c>
      <c r="E65" s="3" t="s">
        <v>11</v>
      </c>
      <c r="F65" s="3" t="s">
        <v>11</v>
      </c>
      <c r="G65" s="5">
        <v>0</v>
      </c>
      <c r="H65" s="5" t="str">
        <f t="shared" si="5"/>
        <v>-</v>
      </c>
      <c r="I65" s="5" t="str">
        <f t="shared" si="6"/>
        <v>-</v>
      </c>
      <c r="J65" s="5" t="str">
        <f t="shared" si="7"/>
        <v>-</v>
      </c>
      <c r="K65" s="5" t="str">
        <f t="shared" si="8"/>
        <v>-</v>
      </c>
      <c r="L65" s="5" t="str">
        <f t="shared" si="9"/>
        <v>-</v>
      </c>
      <c r="M65" s="3" t="s">
        <v>347</v>
      </c>
    </row>
    <row r="66" spans="1:13" ht="45.95" customHeight="1">
      <c r="A66" s="3" t="s">
        <v>281</v>
      </c>
      <c r="B66" s="3" t="s">
        <v>11</v>
      </c>
      <c r="C66" s="3" t="s">
        <v>11</v>
      </c>
      <c r="D66" s="3" t="s">
        <v>11</v>
      </c>
      <c r="E66" s="3" t="s">
        <v>11</v>
      </c>
      <c r="F66" s="3" t="s">
        <v>11</v>
      </c>
      <c r="G66" s="5">
        <v>0</v>
      </c>
      <c r="H66" s="5" t="str">
        <f t="shared" ref="H66:H73" si="10">IF(G66=1,2,"-")</f>
        <v>-</v>
      </c>
      <c r="I66" s="5" t="str">
        <f t="shared" ref="I66:I73" si="11">IF(G66=1,2,"-")</f>
        <v>-</v>
      </c>
      <c r="J66" s="5" t="str">
        <f t="shared" ref="J66:J73" si="12">IF(G66=1,2,"-")</f>
        <v>-</v>
      </c>
      <c r="K66" s="5" t="str">
        <f t="shared" ref="K66:K73" si="13">IF(G66=1,2,"-")</f>
        <v>-</v>
      </c>
      <c r="L66" s="5" t="str">
        <f t="shared" ref="L66:L73" si="14">IF(G66=1,1,"-")</f>
        <v>-</v>
      </c>
      <c r="M66" s="3" t="s">
        <v>347</v>
      </c>
    </row>
    <row r="67" spans="1:13" ht="45.95" customHeight="1">
      <c r="A67" s="3" t="s">
        <v>283</v>
      </c>
      <c r="B67" s="3" t="s">
        <v>11</v>
      </c>
      <c r="C67" s="3" t="s">
        <v>11</v>
      </c>
      <c r="D67" s="3" t="s">
        <v>11</v>
      </c>
      <c r="E67" s="3" t="s">
        <v>11</v>
      </c>
      <c r="F67" s="3" t="s">
        <v>11</v>
      </c>
      <c r="G67" s="5">
        <v>0</v>
      </c>
      <c r="H67" s="5" t="str">
        <f t="shared" si="10"/>
        <v>-</v>
      </c>
      <c r="I67" s="5" t="str">
        <f t="shared" si="11"/>
        <v>-</v>
      </c>
      <c r="J67" s="5" t="str">
        <f t="shared" si="12"/>
        <v>-</v>
      </c>
      <c r="K67" s="5" t="str">
        <f t="shared" si="13"/>
        <v>-</v>
      </c>
      <c r="L67" s="5" t="str">
        <f t="shared" si="14"/>
        <v>-</v>
      </c>
      <c r="M67" s="3" t="s">
        <v>347</v>
      </c>
    </row>
    <row r="68" spans="1:13" ht="45.95" customHeight="1">
      <c r="A68" s="3" t="s">
        <v>285</v>
      </c>
      <c r="B68" s="3" t="s">
        <v>286</v>
      </c>
      <c r="C68" s="3" t="s">
        <v>249</v>
      </c>
      <c r="D68" s="3" t="s">
        <v>20</v>
      </c>
      <c r="E68" s="3" t="s">
        <v>21</v>
      </c>
      <c r="F68" s="3" t="s">
        <v>287</v>
      </c>
      <c r="G68" s="5">
        <v>1</v>
      </c>
      <c r="H68" s="5">
        <f t="shared" si="10"/>
        <v>2</v>
      </c>
      <c r="I68" s="5">
        <f t="shared" si="11"/>
        <v>2</v>
      </c>
      <c r="J68" s="5">
        <f t="shared" si="12"/>
        <v>2</v>
      </c>
      <c r="K68" s="5">
        <f t="shared" si="13"/>
        <v>2</v>
      </c>
      <c r="L68" s="5">
        <f t="shared" si="14"/>
        <v>1</v>
      </c>
      <c r="M68" s="3" t="s">
        <v>343</v>
      </c>
    </row>
    <row r="69" spans="1:13" ht="45.95" customHeight="1">
      <c r="A69" s="3" t="s">
        <v>291</v>
      </c>
      <c r="B69" s="3" t="s">
        <v>292</v>
      </c>
      <c r="C69" s="3" t="s">
        <v>327</v>
      </c>
      <c r="D69" s="3" t="s">
        <v>20</v>
      </c>
      <c r="E69" s="3" t="s">
        <v>21</v>
      </c>
      <c r="F69" s="3" t="s">
        <v>287</v>
      </c>
      <c r="G69" s="5">
        <v>1</v>
      </c>
      <c r="H69" s="5">
        <f t="shared" si="10"/>
        <v>2</v>
      </c>
      <c r="I69" s="5">
        <f t="shared" si="11"/>
        <v>2</v>
      </c>
      <c r="J69" s="5">
        <f t="shared" si="12"/>
        <v>2</v>
      </c>
      <c r="K69" s="5">
        <f t="shared" si="13"/>
        <v>2</v>
      </c>
      <c r="L69" s="5">
        <f t="shared" si="14"/>
        <v>1</v>
      </c>
      <c r="M69" s="3" t="s">
        <v>343</v>
      </c>
    </row>
    <row r="70" spans="1:13" ht="45.95" customHeight="1">
      <c r="A70" s="3" t="s">
        <v>295</v>
      </c>
      <c r="B70" s="3" t="s">
        <v>296</v>
      </c>
      <c r="C70" s="3" t="s">
        <v>249</v>
      </c>
      <c r="D70" s="3" t="s">
        <v>20</v>
      </c>
      <c r="E70" s="3" t="s">
        <v>21</v>
      </c>
      <c r="F70" s="3" t="s">
        <v>287</v>
      </c>
      <c r="G70" s="5">
        <v>1</v>
      </c>
      <c r="H70" s="5">
        <f t="shared" si="10"/>
        <v>2</v>
      </c>
      <c r="I70" s="5">
        <f t="shared" si="11"/>
        <v>2</v>
      </c>
      <c r="J70" s="5">
        <f t="shared" si="12"/>
        <v>2</v>
      </c>
      <c r="K70" s="5">
        <f t="shared" si="13"/>
        <v>2</v>
      </c>
      <c r="L70" s="5">
        <f t="shared" si="14"/>
        <v>1</v>
      </c>
      <c r="M70" s="3" t="s">
        <v>343</v>
      </c>
    </row>
    <row r="71" spans="1:13" ht="45.95" customHeight="1">
      <c r="A71" s="3" t="s">
        <v>300</v>
      </c>
      <c r="B71" s="3" t="s">
        <v>301</v>
      </c>
      <c r="C71" s="3" t="s">
        <v>249</v>
      </c>
      <c r="D71" s="3" t="s">
        <v>20</v>
      </c>
      <c r="E71" s="3" t="s">
        <v>21</v>
      </c>
      <c r="F71" s="3" t="s">
        <v>287</v>
      </c>
      <c r="G71" s="5">
        <v>1</v>
      </c>
      <c r="H71" s="5">
        <f t="shared" si="10"/>
        <v>2</v>
      </c>
      <c r="I71" s="5">
        <f t="shared" si="11"/>
        <v>2</v>
      </c>
      <c r="J71" s="5">
        <f t="shared" si="12"/>
        <v>2</v>
      </c>
      <c r="K71" s="5">
        <f t="shared" si="13"/>
        <v>2</v>
      </c>
      <c r="L71" s="5">
        <f t="shared" si="14"/>
        <v>1</v>
      </c>
      <c r="M71" s="3" t="s">
        <v>343</v>
      </c>
    </row>
    <row r="72" spans="1:13" ht="45.95" customHeight="1">
      <c r="A72" s="3" t="s">
        <v>305</v>
      </c>
      <c r="B72" s="3" t="s">
        <v>306</v>
      </c>
      <c r="C72" s="3" t="s">
        <v>249</v>
      </c>
      <c r="D72" s="3" t="s">
        <v>20</v>
      </c>
      <c r="E72" s="3" t="s">
        <v>21</v>
      </c>
      <c r="F72" s="3" t="s">
        <v>287</v>
      </c>
      <c r="G72" s="5">
        <v>1</v>
      </c>
      <c r="H72" s="5">
        <f t="shared" si="10"/>
        <v>2</v>
      </c>
      <c r="I72" s="5">
        <f t="shared" si="11"/>
        <v>2</v>
      </c>
      <c r="J72" s="5">
        <f t="shared" si="12"/>
        <v>2</v>
      </c>
      <c r="K72" s="5">
        <f t="shared" si="13"/>
        <v>2</v>
      </c>
      <c r="L72" s="5">
        <f t="shared" si="14"/>
        <v>1</v>
      </c>
      <c r="M72" s="3" t="s">
        <v>343</v>
      </c>
    </row>
    <row r="73" spans="1:13" ht="45.95" customHeight="1">
      <c r="A73" s="3" t="s">
        <v>309</v>
      </c>
      <c r="B73" s="3" t="s">
        <v>310</v>
      </c>
      <c r="C73" s="3" t="s">
        <v>249</v>
      </c>
      <c r="D73" s="3" t="s">
        <v>20</v>
      </c>
      <c r="E73" s="3" t="s">
        <v>21</v>
      </c>
      <c r="F73" s="3" t="s">
        <v>287</v>
      </c>
      <c r="G73" s="5">
        <v>1</v>
      </c>
      <c r="H73" s="5">
        <f t="shared" si="10"/>
        <v>2</v>
      </c>
      <c r="I73" s="5">
        <f t="shared" si="11"/>
        <v>2</v>
      </c>
      <c r="J73" s="5">
        <f t="shared" si="12"/>
        <v>2</v>
      </c>
      <c r="K73" s="5">
        <f t="shared" si="13"/>
        <v>2</v>
      </c>
      <c r="L73" s="5">
        <f t="shared" si="14"/>
        <v>1</v>
      </c>
      <c r="M73" s="3" t="s">
        <v>343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selection activeCell="B31" sqref="B31"/>
    </sheetView>
  </sheetViews>
  <sheetFormatPr baseColWidth="10" defaultColWidth="9" defaultRowHeight="14.25"/>
  <cols>
    <col min="1" max="1" width="12.25" customWidth="1"/>
    <col min="2" max="2" width="13" customWidth="1"/>
    <col min="3" max="3" width="13.5" customWidth="1"/>
    <col min="4" max="4" width="10" customWidth="1"/>
    <col min="5" max="9" width="8" customWidth="1"/>
    <col min="10" max="10" width="34" customWidth="1"/>
  </cols>
  <sheetData>
    <row r="1" spans="1:10" ht="15">
      <c r="A1" s="1" t="s">
        <v>328</v>
      </c>
      <c r="B1" s="1" t="s">
        <v>329</v>
      </c>
      <c r="C1" s="1" t="s">
        <v>330</v>
      </c>
      <c r="D1" s="1" t="s">
        <v>331</v>
      </c>
      <c r="E1" s="1" t="s">
        <v>321</v>
      </c>
      <c r="F1" s="1" t="s">
        <v>322</v>
      </c>
      <c r="G1" s="1" t="s">
        <v>323</v>
      </c>
      <c r="H1" s="1" t="s">
        <v>324</v>
      </c>
      <c r="I1" s="1" t="s">
        <v>325</v>
      </c>
      <c r="J1" s="1" t="s">
        <v>332</v>
      </c>
    </row>
    <row r="2" spans="1:10">
      <c r="A2" s="6" t="s">
        <v>333</v>
      </c>
      <c r="B2" s="6" t="s">
        <v>334</v>
      </c>
      <c r="C2" s="6" t="s">
        <v>335</v>
      </c>
      <c r="D2" s="7" t="str">
        <f>COUNTIF('Run-Level bewertet'!G2:G4,1)&amp;"/3"</f>
        <v>0/3</v>
      </c>
      <c r="E2" s="7" t="str">
        <f>IF(D2="0/3","-",MIN('Run-Level bewertet'!H2:H4))</f>
        <v>-</v>
      </c>
      <c r="F2" s="7" t="str">
        <f>IF(D2="0/3","-",MIN('Run-Level bewertet'!I2:I4))</f>
        <v>-</v>
      </c>
      <c r="G2" s="7" t="str">
        <f>IF(D2="0/3","-",MIN('Run-Level bewertet'!J2:J4))</f>
        <v>-</v>
      </c>
      <c r="H2" s="7" t="str">
        <f>IF(D2="0/3","-",MIN('Run-Level bewertet'!K2:K4))</f>
        <v>-</v>
      </c>
      <c r="I2" s="7" t="str">
        <f>IF(D2="0/3","-",MIN('Run-Level bewertet'!L2:L4))</f>
        <v>-</v>
      </c>
      <c r="J2" s="6" t="str">
        <f t="shared" ref="J2:J25" si="0">IF(D2="0/3",D2&amp;" · -",D2&amp;" · K"&amp;E2&amp;" T"&amp;F2&amp;" U"&amp;G2&amp;" A"&amp;H2&amp;" H"&amp;I2)</f>
        <v>0/3 · -</v>
      </c>
    </row>
    <row r="3" spans="1:10">
      <c r="A3" s="6" t="s">
        <v>333</v>
      </c>
      <c r="B3" s="6" t="s">
        <v>334</v>
      </c>
      <c r="C3" s="6" t="s">
        <v>336</v>
      </c>
      <c r="D3" s="7" t="str">
        <f>COUNTIF('Run-Level bewertet'!G5:G7,1)&amp;"/3"</f>
        <v>3/3</v>
      </c>
      <c r="E3" s="7">
        <f>IF(D3="0/3","-",MIN('Run-Level bewertet'!H5:H7))</f>
        <v>2</v>
      </c>
      <c r="F3" s="7">
        <f>IF(D3="0/3","-",MIN('Run-Level bewertet'!I5:I7))</f>
        <v>2</v>
      </c>
      <c r="G3" s="7">
        <f>IF(D3="0/3","-",MIN('Run-Level bewertet'!J5:J7))</f>
        <v>2</v>
      </c>
      <c r="H3" s="7">
        <f>IF(D3="0/3","-",MIN('Run-Level bewertet'!K5:K7))</f>
        <v>2</v>
      </c>
      <c r="I3" s="7">
        <f>IF(D3="0/3","-",MIN('Run-Level bewertet'!L5:L7))</f>
        <v>1</v>
      </c>
      <c r="J3" s="6" t="str">
        <f t="shared" si="0"/>
        <v>3/3 · K2 T2 U2 A2 H1</v>
      </c>
    </row>
    <row r="4" spans="1:10">
      <c r="A4" s="6" t="s">
        <v>333</v>
      </c>
      <c r="B4" s="6" t="s">
        <v>334</v>
      </c>
      <c r="C4" s="6" t="s">
        <v>337</v>
      </c>
      <c r="D4" s="7" t="str">
        <f>COUNTIF('Run-Level bewertet'!G8:G10,1)&amp;"/3"</f>
        <v>3/3</v>
      </c>
      <c r="E4" s="7">
        <f>IF(D4="0/3","-",MIN('Run-Level bewertet'!H8:H10))</f>
        <v>2</v>
      </c>
      <c r="F4" s="7">
        <f>IF(D4="0/3","-",MIN('Run-Level bewertet'!I8:I10))</f>
        <v>2</v>
      </c>
      <c r="G4" s="7">
        <f>IF(D4="0/3","-",MIN('Run-Level bewertet'!J8:J10))</f>
        <v>2</v>
      </c>
      <c r="H4" s="7">
        <f>IF(D4="0/3","-",MIN('Run-Level bewertet'!K8:K10))</f>
        <v>2</v>
      </c>
      <c r="I4" s="7">
        <f>IF(D4="0/3","-",MIN('Run-Level bewertet'!L8:L10))</f>
        <v>1</v>
      </c>
      <c r="J4" s="6" t="str">
        <f t="shared" si="0"/>
        <v>3/3 · K2 T2 U2 A2 H1</v>
      </c>
    </row>
    <row r="5" spans="1:10">
      <c r="A5" s="6" t="s">
        <v>333</v>
      </c>
      <c r="B5" s="6" t="s">
        <v>338</v>
      </c>
      <c r="C5" s="6" t="s">
        <v>335</v>
      </c>
      <c r="D5" s="7" t="str">
        <f>COUNTIF('Run-Level bewertet'!G11:G13,1)&amp;"/3"</f>
        <v>0/3</v>
      </c>
      <c r="E5" s="7" t="str">
        <f>IF(D5="0/3","-",MIN('Run-Level bewertet'!H11:H13))</f>
        <v>-</v>
      </c>
      <c r="F5" s="7" t="str">
        <f>IF(D5="0/3","-",MIN('Run-Level bewertet'!I11:I13))</f>
        <v>-</v>
      </c>
      <c r="G5" s="7" t="str">
        <f>IF(D5="0/3","-",MIN('Run-Level bewertet'!J11:J13))</f>
        <v>-</v>
      </c>
      <c r="H5" s="7" t="str">
        <f>IF(D5="0/3","-",MIN('Run-Level bewertet'!K11:K13))</f>
        <v>-</v>
      </c>
      <c r="I5" s="7" t="str">
        <f>IF(D5="0/3","-",MIN('Run-Level bewertet'!L11:L13))</f>
        <v>-</v>
      </c>
      <c r="J5" s="6" t="str">
        <f t="shared" si="0"/>
        <v>0/3 · -</v>
      </c>
    </row>
    <row r="6" spans="1:10">
      <c r="A6" s="6" t="s">
        <v>333</v>
      </c>
      <c r="B6" s="6" t="s">
        <v>338</v>
      </c>
      <c r="C6" s="6" t="s">
        <v>336</v>
      </c>
      <c r="D6" s="7" t="str">
        <f>COUNTIF('Run-Level bewertet'!G14:G16,1)&amp;"/3"</f>
        <v>3/3</v>
      </c>
      <c r="E6" s="7">
        <f>IF(D6="0/3","-",MIN('Run-Level bewertet'!H14:H16))</f>
        <v>2</v>
      </c>
      <c r="F6" s="7">
        <f>IF(D6="0/3","-",MIN('Run-Level bewertet'!I14:I16))</f>
        <v>2</v>
      </c>
      <c r="G6" s="7">
        <f>IF(D6="0/3","-",MIN('Run-Level bewertet'!J14:J16))</f>
        <v>2</v>
      </c>
      <c r="H6" s="7">
        <f>IF(D6="0/3","-",MIN('Run-Level bewertet'!K14:K16))</f>
        <v>2</v>
      </c>
      <c r="I6" s="7">
        <f>IF(D6="0/3","-",MIN('Run-Level bewertet'!L14:L16))</f>
        <v>1</v>
      </c>
      <c r="J6" s="6" t="str">
        <f t="shared" si="0"/>
        <v>3/3 · K2 T2 U2 A2 H1</v>
      </c>
    </row>
    <row r="7" spans="1:10">
      <c r="A7" s="6" t="s">
        <v>333</v>
      </c>
      <c r="B7" s="6" t="s">
        <v>338</v>
      </c>
      <c r="C7" s="6" t="s">
        <v>337</v>
      </c>
      <c r="D7" s="7" t="str">
        <f>COUNTIF('Run-Level bewertet'!G17:G19,1)&amp;"/3"</f>
        <v>3/3</v>
      </c>
      <c r="E7" s="7">
        <f>IF(D7="0/3","-",MIN('Run-Level bewertet'!H17:H19))</f>
        <v>2</v>
      </c>
      <c r="F7" s="7">
        <f>IF(D7="0/3","-",MIN('Run-Level bewertet'!I17:I19))</f>
        <v>2</v>
      </c>
      <c r="G7" s="7">
        <f>IF(D7="0/3","-",MIN('Run-Level bewertet'!J17:J19))</f>
        <v>2</v>
      </c>
      <c r="H7" s="7">
        <f>IF(D7="0/3","-",MIN('Run-Level bewertet'!K17:K19))</f>
        <v>2</v>
      </c>
      <c r="I7" s="7">
        <f>IF(D7="0/3","-",MIN('Run-Level bewertet'!L17:L19))</f>
        <v>1</v>
      </c>
      <c r="J7" s="6" t="str">
        <f t="shared" si="0"/>
        <v>3/3 · K2 T2 U2 A2 H1</v>
      </c>
    </row>
    <row r="8" spans="1:10">
      <c r="A8" s="6" t="s">
        <v>339</v>
      </c>
      <c r="B8" s="6" t="s">
        <v>334</v>
      </c>
      <c r="C8" s="6" t="s">
        <v>335</v>
      </c>
      <c r="D8" s="7" t="str">
        <f>COUNTIF('Run-Level bewertet'!G20:G22,1)&amp;"/3"</f>
        <v>0/3</v>
      </c>
      <c r="E8" s="7" t="str">
        <f>IF(D8="0/3","-",MIN('Run-Level bewertet'!H20:H22))</f>
        <v>-</v>
      </c>
      <c r="F8" s="7" t="str">
        <f>IF(D8="0/3","-",MIN('Run-Level bewertet'!I20:I22))</f>
        <v>-</v>
      </c>
      <c r="G8" s="7" t="str">
        <f>IF(D8="0/3","-",MIN('Run-Level bewertet'!J20:J22))</f>
        <v>-</v>
      </c>
      <c r="H8" s="7" t="str">
        <f>IF(D8="0/3","-",MIN('Run-Level bewertet'!K20:K22))</f>
        <v>-</v>
      </c>
      <c r="I8" s="7" t="str">
        <f>IF(D8="0/3","-",MIN('Run-Level bewertet'!L20:L22))</f>
        <v>-</v>
      </c>
      <c r="J8" s="6" t="str">
        <f t="shared" si="0"/>
        <v>0/3 · -</v>
      </c>
    </row>
    <row r="9" spans="1:10">
      <c r="A9" s="6" t="s">
        <v>339</v>
      </c>
      <c r="B9" s="6" t="s">
        <v>334</v>
      </c>
      <c r="C9" s="6" t="s">
        <v>336</v>
      </c>
      <c r="D9" s="7" t="str">
        <f>COUNTIF('Run-Level bewertet'!G23:G25,1)&amp;"/3"</f>
        <v>3/3</v>
      </c>
      <c r="E9" s="7">
        <f>IF(D9="0/3","-",MIN('Run-Level bewertet'!H23:H25))</f>
        <v>2</v>
      </c>
      <c r="F9" s="7">
        <f>IF(D9="0/3","-",MIN('Run-Level bewertet'!I23:I25))</f>
        <v>2</v>
      </c>
      <c r="G9" s="7">
        <f>IF(D9="0/3","-",MIN('Run-Level bewertet'!J23:J25))</f>
        <v>2</v>
      </c>
      <c r="H9" s="7">
        <f>IF(D9="0/3","-",MIN('Run-Level bewertet'!K23:K25))</f>
        <v>2</v>
      </c>
      <c r="I9" s="7">
        <f>IF(D9="0/3","-",MIN('Run-Level bewertet'!L23:L25))</f>
        <v>1</v>
      </c>
      <c r="J9" s="6" t="str">
        <f t="shared" si="0"/>
        <v>3/3 · K2 T2 U2 A2 H1</v>
      </c>
    </row>
    <row r="10" spans="1:10">
      <c r="A10" s="6" t="s">
        <v>339</v>
      </c>
      <c r="B10" s="6" t="s">
        <v>334</v>
      </c>
      <c r="C10" s="6" t="s">
        <v>337</v>
      </c>
      <c r="D10" s="7" t="str">
        <f>COUNTIF('Run-Level bewertet'!G26:G28,1)&amp;"/3"</f>
        <v>3/3</v>
      </c>
      <c r="E10" s="7">
        <f>IF(D10="0/3","-",MIN('Run-Level bewertet'!H26:H28))</f>
        <v>2</v>
      </c>
      <c r="F10" s="7">
        <f>IF(D10="0/3","-",MIN('Run-Level bewertet'!I26:I28))</f>
        <v>2</v>
      </c>
      <c r="G10" s="7">
        <f>IF(D10="0/3","-",MIN('Run-Level bewertet'!J26:J28))</f>
        <v>2</v>
      </c>
      <c r="H10" s="7">
        <f>IF(D10="0/3","-",MIN('Run-Level bewertet'!K26:K28))</f>
        <v>2</v>
      </c>
      <c r="I10" s="7">
        <f>IF(D10="0/3","-",MIN('Run-Level bewertet'!L26:L28))</f>
        <v>1</v>
      </c>
      <c r="J10" s="6" t="str">
        <f t="shared" si="0"/>
        <v>3/3 · K2 T2 U2 A2 H1</v>
      </c>
    </row>
    <row r="11" spans="1:10">
      <c r="A11" s="6" t="s">
        <v>339</v>
      </c>
      <c r="B11" s="6" t="s">
        <v>338</v>
      </c>
      <c r="C11" s="6" t="s">
        <v>335</v>
      </c>
      <c r="D11" s="7" t="str">
        <f>COUNTIF('Run-Level bewertet'!G29:G31,1)&amp;"/3"</f>
        <v>0/3</v>
      </c>
      <c r="E11" s="7" t="str">
        <f>IF(D11="0/3","-",MIN('Run-Level bewertet'!H29:H31))</f>
        <v>-</v>
      </c>
      <c r="F11" s="7" t="str">
        <f>IF(D11="0/3","-",MIN('Run-Level bewertet'!I29:I31))</f>
        <v>-</v>
      </c>
      <c r="G11" s="7" t="str">
        <f>IF(D11="0/3","-",MIN('Run-Level bewertet'!J29:J31))</f>
        <v>-</v>
      </c>
      <c r="H11" s="7" t="str">
        <f>IF(D11="0/3","-",MIN('Run-Level bewertet'!K29:K31))</f>
        <v>-</v>
      </c>
      <c r="I11" s="7" t="str">
        <f>IF(D11="0/3","-",MIN('Run-Level bewertet'!L29:L31))</f>
        <v>-</v>
      </c>
      <c r="J11" s="6" t="str">
        <f t="shared" si="0"/>
        <v>0/3 · -</v>
      </c>
    </row>
    <row r="12" spans="1:10">
      <c r="A12" s="6" t="s">
        <v>339</v>
      </c>
      <c r="B12" s="6" t="s">
        <v>338</v>
      </c>
      <c r="C12" s="6" t="s">
        <v>336</v>
      </c>
      <c r="D12" s="7" t="str">
        <f>COUNTIF('Run-Level bewertet'!G32:G34,1)&amp;"/3"</f>
        <v>3/3</v>
      </c>
      <c r="E12" s="7">
        <f>IF(D12="0/3","-",MIN('Run-Level bewertet'!H32:H34))</f>
        <v>2</v>
      </c>
      <c r="F12" s="7">
        <f>IF(D12="0/3","-",MIN('Run-Level bewertet'!I32:I34))</f>
        <v>2</v>
      </c>
      <c r="G12" s="7">
        <f>IF(D12="0/3","-",MIN('Run-Level bewertet'!J32:J34))</f>
        <v>2</v>
      </c>
      <c r="H12" s="7">
        <f>IF(D12="0/3","-",MIN('Run-Level bewertet'!K32:K34))</f>
        <v>2</v>
      </c>
      <c r="I12" s="7">
        <f>IF(D12="0/3","-",MIN('Run-Level bewertet'!L32:L34))</f>
        <v>1</v>
      </c>
      <c r="J12" s="6" t="str">
        <f t="shared" si="0"/>
        <v>3/3 · K2 T2 U2 A2 H1</v>
      </c>
    </row>
    <row r="13" spans="1:10">
      <c r="A13" s="6" t="s">
        <v>339</v>
      </c>
      <c r="B13" s="6" t="s">
        <v>338</v>
      </c>
      <c r="C13" s="6" t="s">
        <v>337</v>
      </c>
      <c r="D13" s="7" t="str">
        <f>COUNTIF('Run-Level bewertet'!G35:G37,1)&amp;"/3"</f>
        <v>3/3</v>
      </c>
      <c r="E13" s="7">
        <f>IF(D13="0/3","-",MIN('Run-Level bewertet'!H35:H37))</f>
        <v>2</v>
      </c>
      <c r="F13" s="7">
        <f>IF(D13="0/3","-",MIN('Run-Level bewertet'!I35:I37))</f>
        <v>2</v>
      </c>
      <c r="G13" s="7">
        <f>IF(D13="0/3","-",MIN('Run-Level bewertet'!J35:J37))</f>
        <v>2</v>
      </c>
      <c r="H13" s="7">
        <f>IF(D13="0/3","-",MIN('Run-Level bewertet'!K35:K37))</f>
        <v>2</v>
      </c>
      <c r="I13" s="7">
        <f>IF(D13="0/3","-",MIN('Run-Level bewertet'!L35:L37))</f>
        <v>1</v>
      </c>
      <c r="J13" s="6" t="str">
        <f t="shared" si="0"/>
        <v>3/3 · K2 T2 U2 A2 H1</v>
      </c>
    </row>
    <row r="14" spans="1:10">
      <c r="A14" s="6" t="s">
        <v>340</v>
      </c>
      <c r="B14" s="6" t="s">
        <v>334</v>
      </c>
      <c r="C14" s="6" t="s">
        <v>335</v>
      </c>
      <c r="D14" s="7" t="str">
        <f>COUNTIF('Run-Level bewertet'!G38:G40,1)&amp;"/3"</f>
        <v>0/3</v>
      </c>
      <c r="E14" s="7" t="str">
        <f>IF(D14="0/3","-",MIN('Run-Level bewertet'!H38:H40))</f>
        <v>-</v>
      </c>
      <c r="F14" s="7" t="str">
        <f>IF(D14="0/3","-",MIN('Run-Level bewertet'!I38:I40))</f>
        <v>-</v>
      </c>
      <c r="G14" s="7" t="str">
        <f>IF(D14="0/3","-",MIN('Run-Level bewertet'!J38:J40))</f>
        <v>-</v>
      </c>
      <c r="H14" s="7" t="str">
        <f>IF(D14="0/3","-",MIN('Run-Level bewertet'!K38:K40))</f>
        <v>-</v>
      </c>
      <c r="I14" s="7" t="str">
        <f>IF(D14="0/3","-",MIN('Run-Level bewertet'!L38:L40))</f>
        <v>-</v>
      </c>
      <c r="J14" s="6" t="str">
        <f t="shared" si="0"/>
        <v>0/3 · -</v>
      </c>
    </row>
    <row r="15" spans="1:10">
      <c r="A15" s="6" t="s">
        <v>340</v>
      </c>
      <c r="B15" s="6" t="s">
        <v>334</v>
      </c>
      <c r="C15" s="6" t="s">
        <v>336</v>
      </c>
      <c r="D15" s="7" t="str">
        <f>COUNTIF('Run-Level bewertet'!G41:G43,1)&amp;"/3"</f>
        <v>3/3</v>
      </c>
      <c r="E15" s="7">
        <f>IF(D15="0/3","-",MIN('Run-Level bewertet'!H41:H43))</f>
        <v>2</v>
      </c>
      <c r="F15" s="7">
        <f>IF(D15="0/3","-",MIN('Run-Level bewertet'!I41:I43))</f>
        <v>2</v>
      </c>
      <c r="G15" s="7">
        <f>IF(D15="0/3","-",MIN('Run-Level bewertet'!J41:J43))</f>
        <v>2</v>
      </c>
      <c r="H15" s="7">
        <f>IF(D15="0/3","-",MIN('Run-Level bewertet'!K41:K43))</f>
        <v>2</v>
      </c>
      <c r="I15" s="7">
        <f>IF(D15="0/3","-",MIN('Run-Level bewertet'!L41:L43))</f>
        <v>1</v>
      </c>
      <c r="J15" s="6" t="str">
        <f t="shared" si="0"/>
        <v>3/3 · K2 T2 U2 A2 H1</v>
      </c>
    </row>
    <row r="16" spans="1:10">
      <c r="A16" s="6" t="s">
        <v>340</v>
      </c>
      <c r="B16" s="6" t="s">
        <v>334</v>
      </c>
      <c r="C16" s="6" t="s">
        <v>337</v>
      </c>
      <c r="D16" s="7" t="str">
        <f>COUNTIF('Run-Level bewertet'!G44:G46,1)&amp;"/3"</f>
        <v>3/3</v>
      </c>
      <c r="E16" s="7">
        <f>IF(D16="0/3","-",MIN('Run-Level bewertet'!H44:H46))</f>
        <v>2</v>
      </c>
      <c r="F16" s="7">
        <f>IF(D16="0/3","-",MIN('Run-Level bewertet'!I44:I46))</f>
        <v>2</v>
      </c>
      <c r="G16" s="7">
        <f>IF(D16="0/3","-",MIN('Run-Level bewertet'!J44:J46))</f>
        <v>2</v>
      </c>
      <c r="H16" s="7">
        <f>IF(D16="0/3","-",MIN('Run-Level bewertet'!K44:K46))</f>
        <v>2</v>
      </c>
      <c r="I16" s="7">
        <f>IF(D16="0/3","-",MIN('Run-Level bewertet'!L44:L46))</f>
        <v>1</v>
      </c>
      <c r="J16" s="6" t="str">
        <f t="shared" si="0"/>
        <v>3/3 · K2 T2 U2 A2 H1</v>
      </c>
    </row>
    <row r="17" spans="1:10">
      <c r="A17" s="6" t="s">
        <v>340</v>
      </c>
      <c r="B17" s="6" t="s">
        <v>338</v>
      </c>
      <c r="C17" s="6" t="s">
        <v>335</v>
      </c>
      <c r="D17" s="7" t="str">
        <f>COUNTIF('Run-Level bewertet'!G47:G49,1)&amp;"/3"</f>
        <v>0/3</v>
      </c>
      <c r="E17" s="7" t="str">
        <f>IF(D17="0/3","-",MIN('Run-Level bewertet'!H47:H49))</f>
        <v>-</v>
      </c>
      <c r="F17" s="7" t="str">
        <f>IF(D17="0/3","-",MIN('Run-Level bewertet'!I47:I49))</f>
        <v>-</v>
      </c>
      <c r="G17" s="7" t="str">
        <f>IF(D17="0/3","-",MIN('Run-Level bewertet'!J47:J49))</f>
        <v>-</v>
      </c>
      <c r="H17" s="7" t="str">
        <f>IF(D17="0/3","-",MIN('Run-Level bewertet'!K47:K49))</f>
        <v>-</v>
      </c>
      <c r="I17" s="7" t="str">
        <f>IF(D17="0/3","-",MIN('Run-Level bewertet'!L47:L49))</f>
        <v>-</v>
      </c>
      <c r="J17" s="6" t="str">
        <f t="shared" si="0"/>
        <v>0/3 · -</v>
      </c>
    </row>
    <row r="18" spans="1:10">
      <c r="A18" s="6" t="s">
        <v>340</v>
      </c>
      <c r="B18" s="6" t="s">
        <v>338</v>
      </c>
      <c r="C18" s="6" t="s">
        <v>336</v>
      </c>
      <c r="D18" s="7" t="str">
        <f>COUNTIF('Run-Level bewertet'!G50:G52,1)&amp;"/3"</f>
        <v>3/3</v>
      </c>
      <c r="E18" s="7">
        <f>IF(D18="0/3","-",MIN('Run-Level bewertet'!H50:H52))</f>
        <v>2</v>
      </c>
      <c r="F18" s="7">
        <f>IF(D18="0/3","-",MIN('Run-Level bewertet'!I50:I52))</f>
        <v>2</v>
      </c>
      <c r="G18" s="7">
        <f>IF(D18="0/3","-",MIN('Run-Level bewertet'!J50:J52))</f>
        <v>2</v>
      </c>
      <c r="H18" s="7">
        <f>IF(D18="0/3","-",MIN('Run-Level bewertet'!K50:K52))</f>
        <v>2</v>
      </c>
      <c r="I18" s="7">
        <f>IF(D18="0/3","-",MIN('Run-Level bewertet'!L50:L52))</f>
        <v>1</v>
      </c>
      <c r="J18" s="6" t="str">
        <f t="shared" si="0"/>
        <v>3/3 · K2 T2 U2 A2 H1</v>
      </c>
    </row>
    <row r="19" spans="1:10">
      <c r="A19" s="6" t="s">
        <v>340</v>
      </c>
      <c r="B19" s="6" t="s">
        <v>338</v>
      </c>
      <c r="C19" s="6" t="s">
        <v>337</v>
      </c>
      <c r="D19" s="7" t="str">
        <f>COUNTIF('Run-Level bewertet'!G53:G55,1)&amp;"/3"</f>
        <v>3/3</v>
      </c>
      <c r="E19" s="7">
        <f>IF(D19="0/3","-",MIN('Run-Level bewertet'!H53:H55))</f>
        <v>2</v>
      </c>
      <c r="F19" s="7">
        <f>IF(D19="0/3","-",MIN('Run-Level bewertet'!I53:I55))</f>
        <v>2</v>
      </c>
      <c r="G19" s="7">
        <f>IF(D19="0/3","-",MIN('Run-Level bewertet'!J53:J55))</f>
        <v>2</v>
      </c>
      <c r="H19" s="7">
        <f>IF(D19="0/3","-",MIN('Run-Level bewertet'!K53:K55))</f>
        <v>2</v>
      </c>
      <c r="I19" s="7">
        <f>IF(D19="0/3","-",MIN('Run-Level bewertet'!L53:L55))</f>
        <v>1</v>
      </c>
      <c r="J19" s="6" t="str">
        <f t="shared" si="0"/>
        <v>3/3 · K2 T2 U2 A2 H1</v>
      </c>
    </row>
    <row r="20" spans="1:10">
      <c r="A20" s="6" t="s">
        <v>341</v>
      </c>
      <c r="B20" s="6" t="s">
        <v>334</v>
      </c>
      <c r="C20" s="6" t="s">
        <v>335</v>
      </c>
      <c r="D20" s="7" t="str">
        <f>COUNTIF('Run-Level bewertet'!G56:G58,1)&amp;"/3"</f>
        <v>0/3</v>
      </c>
      <c r="E20" s="7" t="str">
        <f>IF(D20="0/3","-",MIN('Run-Level bewertet'!H56:H58))</f>
        <v>-</v>
      </c>
      <c r="F20" s="7" t="str">
        <f>IF(D20="0/3","-",MIN('Run-Level bewertet'!I56:I58))</f>
        <v>-</v>
      </c>
      <c r="G20" s="7" t="str">
        <f>IF(D20="0/3","-",MIN('Run-Level bewertet'!J56:J58))</f>
        <v>-</v>
      </c>
      <c r="H20" s="7" t="str">
        <f>IF(D20="0/3","-",MIN('Run-Level bewertet'!K56:K58))</f>
        <v>-</v>
      </c>
      <c r="I20" s="7" t="str">
        <f>IF(D20="0/3","-",MIN('Run-Level bewertet'!L56:L58))</f>
        <v>-</v>
      </c>
      <c r="J20" s="6" t="str">
        <f t="shared" si="0"/>
        <v>0/3 · -</v>
      </c>
    </row>
    <row r="21" spans="1:10">
      <c r="A21" s="6" t="s">
        <v>341</v>
      </c>
      <c r="B21" s="6" t="s">
        <v>334</v>
      </c>
      <c r="C21" s="6" t="s">
        <v>336</v>
      </c>
      <c r="D21" s="7" t="str">
        <f>COUNTIF('Run-Level bewertet'!G59:G61,1)&amp;"/3"</f>
        <v>3/3</v>
      </c>
      <c r="E21" s="7">
        <f>IF(D21="0/3","-",MIN('Run-Level bewertet'!H59:H61))</f>
        <v>2</v>
      </c>
      <c r="F21" s="7">
        <f>IF(D21="0/3","-",MIN('Run-Level bewertet'!I59:I61))</f>
        <v>2</v>
      </c>
      <c r="G21" s="7">
        <f>IF(D21="0/3","-",MIN('Run-Level bewertet'!J59:J61))</f>
        <v>2</v>
      </c>
      <c r="H21" s="7">
        <f>IF(D21="0/3","-",MIN('Run-Level bewertet'!K59:K61))</f>
        <v>2</v>
      </c>
      <c r="I21" s="7">
        <f>IF(D21="0/3","-",MIN('Run-Level bewertet'!L59:L61))</f>
        <v>1</v>
      </c>
      <c r="J21" s="6" t="str">
        <f t="shared" si="0"/>
        <v>3/3 · K2 T2 U2 A2 H1</v>
      </c>
    </row>
    <row r="22" spans="1:10">
      <c r="A22" s="6" t="s">
        <v>341</v>
      </c>
      <c r="B22" s="6" t="s">
        <v>334</v>
      </c>
      <c r="C22" s="6" t="s">
        <v>337</v>
      </c>
      <c r="D22" s="7" t="str">
        <f>COUNTIF('Run-Level bewertet'!G62:G64,1)&amp;"/3"</f>
        <v>3/3</v>
      </c>
      <c r="E22" s="7">
        <f>IF(D22="0/3","-",MIN('Run-Level bewertet'!H62:H64))</f>
        <v>2</v>
      </c>
      <c r="F22" s="7">
        <f>IF(D22="0/3","-",MIN('Run-Level bewertet'!I62:I64))</f>
        <v>2</v>
      </c>
      <c r="G22" s="7">
        <f>IF(D22="0/3","-",MIN('Run-Level bewertet'!J62:J64))</f>
        <v>2</v>
      </c>
      <c r="H22" s="7">
        <f>IF(D22="0/3","-",MIN('Run-Level bewertet'!K62:K64))</f>
        <v>2</v>
      </c>
      <c r="I22" s="7">
        <f>IF(D22="0/3","-",MIN('Run-Level bewertet'!L62:L64))</f>
        <v>1</v>
      </c>
      <c r="J22" s="6" t="str">
        <f t="shared" si="0"/>
        <v>3/3 · K2 T2 U2 A2 H1</v>
      </c>
    </row>
    <row r="23" spans="1:10">
      <c r="A23" s="6" t="s">
        <v>341</v>
      </c>
      <c r="B23" s="6" t="s">
        <v>338</v>
      </c>
      <c r="C23" s="6" t="s">
        <v>335</v>
      </c>
      <c r="D23" s="7" t="str">
        <f>COUNTIF('Run-Level bewertet'!G65:G67,1)&amp;"/3"</f>
        <v>0/3</v>
      </c>
      <c r="E23" s="7" t="str">
        <f>IF(D23="0/3","-",MIN('Run-Level bewertet'!H65:H67))</f>
        <v>-</v>
      </c>
      <c r="F23" s="7" t="str">
        <f>IF(D23="0/3","-",MIN('Run-Level bewertet'!I65:I67))</f>
        <v>-</v>
      </c>
      <c r="G23" s="7" t="str">
        <f>IF(D23="0/3","-",MIN('Run-Level bewertet'!J65:J67))</f>
        <v>-</v>
      </c>
      <c r="H23" s="7" t="str">
        <f>IF(D23="0/3","-",MIN('Run-Level bewertet'!K65:K67))</f>
        <v>-</v>
      </c>
      <c r="I23" s="7" t="str">
        <f>IF(D23="0/3","-",MIN('Run-Level bewertet'!L65:L67))</f>
        <v>-</v>
      </c>
      <c r="J23" s="6" t="str">
        <f t="shared" si="0"/>
        <v>0/3 · -</v>
      </c>
    </row>
    <row r="24" spans="1:10">
      <c r="A24" s="6" t="s">
        <v>341</v>
      </c>
      <c r="B24" s="6" t="s">
        <v>338</v>
      </c>
      <c r="C24" s="6" t="s">
        <v>336</v>
      </c>
      <c r="D24" s="7" t="str">
        <f>COUNTIF('Run-Level bewertet'!G68:G70,1)&amp;"/3"</f>
        <v>3/3</v>
      </c>
      <c r="E24" s="7">
        <f>IF(D24="0/3","-",MIN('Run-Level bewertet'!H68:H70))</f>
        <v>2</v>
      </c>
      <c r="F24" s="7">
        <f>IF(D24="0/3","-",MIN('Run-Level bewertet'!I68:I70))</f>
        <v>2</v>
      </c>
      <c r="G24" s="7">
        <f>IF(D24="0/3","-",MIN('Run-Level bewertet'!J68:J70))</f>
        <v>2</v>
      </c>
      <c r="H24" s="7">
        <f>IF(D24="0/3","-",MIN('Run-Level bewertet'!K68:K70))</f>
        <v>2</v>
      </c>
      <c r="I24" s="7">
        <f>IF(D24="0/3","-",MIN('Run-Level bewertet'!L68:L70))</f>
        <v>1</v>
      </c>
      <c r="J24" s="6" t="str">
        <f t="shared" si="0"/>
        <v>3/3 · K2 T2 U2 A2 H1</v>
      </c>
    </row>
    <row r="25" spans="1:10">
      <c r="A25" s="6" t="s">
        <v>341</v>
      </c>
      <c r="B25" s="6" t="s">
        <v>338</v>
      </c>
      <c r="C25" s="6" t="s">
        <v>337</v>
      </c>
      <c r="D25" s="7" t="str">
        <f>COUNTIF('Run-Level bewertet'!G71:G73,1)&amp;"/3"</f>
        <v>3/3</v>
      </c>
      <c r="E25" s="7">
        <f>IF(D25="0/3","-",MIN('Run-Level bewertet'!H71:H73))</f>
        <v>2</v>
      </c>
      <c r="F25" s="7">
        <f>IF(D25="0/3","-",MIN('Run-Level bewertet'!I71:I73))</f>
        <v>2</v>
      </c>
      <c r="G25" s="7">
        <f>IF(D25="0/3","-",MIN('Run-Level bewertet'!J71:J73))</f>
        <v>2</v>
      </c>
      <c r="H25" s="7">
        <f>IF(D25="0/3","-",MIN('Run-Level bewertet'!K71:K73))</f>
        <v>2</v>
      </c>
      <c r="I25" s="7">
        <f>IF(D25="0/3","-",MIN('Run-Level bewertet'!L71:L73))</f>
        <v>1</v>
      </c>
      <c r="J25" s="6" t="str">
        <f t="shared" si="0"/>
        <v>3/3 · K2 T2 U2 A2 H1</v>
      </c>
    </row>
    <row r="27" spans="1:10" ht="312.75" customHeight="1">
      <c r="A27" s="9" t="s">
        <v>349</v>
      </c>
      <c r="B27" s="10"/>
      <c r="C27" s="10"/>
      <c r="D27" s="10"/>
      <c r="E27" s="10"/>
      <c r="F27" s="10"/>
      <c r="G27" s="10"/>
      <c r="H27" s="10"/>
      <c r="I27" s="10"/>
      <c r="J27" s="10"/>
    </row>
    <row r="28" spans="1:10" ht="275.25" customHeight="1">
      <c r="A28" s="11" t="s">
        <v>348</v>
      </c>
      <c r="B28" s="12"/>
      <c r="C28" s="12"/>
      <c r="D28" s="12"/>
      <c r="E28" s="12"/>
      <c r="F28" s="12"/>
      <c r="G28" s="12"/>
      <c r="H28" s="12"/>
      <c r="I28" s="12"/>
      <c r="J28" s="12"/>
    </row>
  </sheetData>
  <mergeCells count="2">
    <mergeCell ref="A27:J27"/>
    <mergeCell ref="A28:J28"/>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Rohdaten</vt:lpstr>
      <vt:lpstr>Run-Level bewertet</vt:lpstr>
      <vt:lpstr>Aggregiert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Balkan, Utku</cp:lastModifiedBy>
  <dcterms:modified xsi:type="dcterms:W3CDTF">2026-09-21T18:31:13Z</dcterms:modified>
</cp:coreProperties>
</file>
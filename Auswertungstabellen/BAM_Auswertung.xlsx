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ku Balkan\Documents\Masterarbeit\Ergebnisauswertung\"/>
    </mc:Choice>
  </mc:AlternateContent>
  <xr:revisionPtr revIDLastSave="0" documentId="13_ncr:1_{23AC8F55-FB58-4C76-A492-FCFF7DEE0754}" xr6:coauthVersionLast="47" xr6:coauthVersionMax="47" xr10:uidLastSave="{00000000-0000-0000-0000-000000000000}"/>
  <bookViews>
    <workbookView xWindow="-28920" yWindow="1395" windowWidth="29040" windowHeight="15720" activeTab="2" xr2:uid="{00000000-000D-0000-FFFF-FFFF00000000}"/>
  </bookViews>
  <sheets>
    <sheet name="Rohdaten" sheetId="1" r:id="rId1"/>
    <sheet name="Run-Level bewertet" sheetId="3" r:id="rId2"/>
    <sheet name="Aggregiert"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4" l="1"/>
  <c r="D3" i="4"/>
  <c r="M73" i="3"/>
  <c r="S73" i="3" s="1"/>
  <c r="S72" i="3"/>
  <c r="N72" i="3"/>
  <c r="M72" i="3"/>
  <c r="S71" i="3"/>
  <c r="R71" i="3"/>
  <c r="Q71" i="3"/>
  <c r="P71" i="3"/>
  <c r="O71" i="3"/>
  <c r="N71" i="3"/>
  <c r="M71" i="3"/>
  <c r="S70" i="3"/>
  <c r="R70" i="3"/>
  <c r="Q70" i="3"/>
  <c r="M70" i="3"/>
  <c r="P70" i="3" s="1"/>
  <c r="R69" i="3"/>
  <c r="Q69" i="3"/>
  <c r="P69" i="3"/>
  <c r="M69" i="3"/>
  <c r="S69" i="3" s="1"/>
  <c r="M68" i="3"/>
  <c r="R68" i="3" s="1"/>
  <c r="S67" i="3"/>
  <c r="R67" i="3"/>
  <c r="Q67" i="3"/>
  <c r="P67" i="3"/>
  <c r="O67" i="3"/>
  <c r="N67" i="3"/>
  <c r="M67" i="3"/>
  <c r="M66" i="3"/>
  <c r="M65" i="3"/>
  <c r="S64" i="3"/>
  <c r="R64" i="3"/>
  <c r="P64" i="3"/>
  <c r="M64" i="3"/>
  <c r="S63" i="3"/>
  <c r="R63" i="3"/>
  <c r="M63" i="3"/>
  <c r="Q63" i="3" s="1"/>
  <c r="Q62" i="3"/>
  <c r="M62" i="3"/>
  <c r="R62" i="3" s="1"/>
  <c r="M61" i="3"/>
  <c r="D21" i="4" s="1"/>
  <c r="S60" i="3"/>
  <c r="R60" i="3"/>
  <c r="Q60" i="3"/>
  <c r="P60" i="3"/>
  <c r="O60" i="3"/>
  <c r="N60" i="3"/>
  <c r="M60" i="3"/>
  <c r="R59" i="3"/>
  <c r="Q59" i="3"/>
  <c r="P59" i="3"/>
  <c r="O59" i="3"/>
  <c r="N59" i="3"/>
  <c r="M59" i="3"/>
  <c r="S59" i="3" s="1"/>
  <c r="M58" i="3"/>
  <c r="N58" i="3" s="1"/>
  <c r="N57" i="3"/>
  <c r="M57" i="3"/>
  <c r="O57" i="3" s="1"/>
  <c r="S56" i="3"/>
  <c r="M56" i="3"/>
  <c r="R56" i="3" s="1"/>
  <c r="R55" i="3"/>
  <c r="M55" i="3"/>
  <c r="O54" i="3"/>
  <c r="N54" i="3"/>
  <c r="M54" i="3"/>
  <c r="S54" i="3" s="1"/>
  <c r="S53" i="3"/>
  <c r="R53" i="3"/>
  <c r="Q53" i="3"/>
  <c r="P53" i="3"/>
  <c r="O53" i="3"/>
  <c r="N53" i="3"/>
  <c r="M53" i="3"/>
  <c r="D19" i="4" s="1"/>
  <c r="R52" i="3"/>
  <c r="Q52" i="3"/>
  <c r="P52" i="3"/>
  <c r="O52" i="3"/>
  <c r="M52" i="3"/>
  <c r="S52" i="3" s="1"/>
  <c r="Q51" i="3"/>
  <c r="P51" i="3"/>
  <c r="O51" i="3"/>
  <c r="N51" i="3"/>
  <c r="M51" i="3"/>
  <c r="S50" i="3"/>
  <c r="R50" i="3"/>
  <c r="Q50" i="3"/>
  <c r="O50" i="3"/>
  <c r="N50" i="3"/>
  <c r="M50" i="3"/>
  <c r="P50" i="3" s="1"/>
  <c r="M49" i="3"/>
  <c r="S49" i="3" s="1"/>
  <c r="M48" i="3"/>
  <c r="S47" i="3"/>
  <c r="R47" i="3"/>
  <c r="Q47" i="3"/>
  <c r="P47" i="3"/>
  <c r="O47" i="3"/>
  <c r="N47" i="3"/>
  <c r="M47" i="3"/>
  <c r="S46" i="3"/>
  <c r="R46" i="3"/>
  <c r="Q46" i="3"/>
  <c r="M46" i="3"/>
  <c r="P46" i="3" s="1"/>
  <c r="R45" i="3"/>
  <c r="Q45" i="3"/>
  <c r="P45" i="3"/>
  <c r="M45" i="3"/>
  <c r="S45" i="3" s="1"/>
  <c r="O44" i="3"/>
  <c r="N44" i="3"/>
  <c r="M44" i="3"/>
  <c r="S43" i="3"/>
  <c r="R43" i="3"/>
  <c r="Q43" i="3"/>
  <c r="P43" i="3"/>
  <c r="O43" i="3"/>
  <c r="N43" i="3"/>
  <c r="M43" i="3"/>
  <c r="M42" i="3"/>
  <c r="M41" i="3"/>
  <c r="O41" i="3" s="1"/>
  <c r="S40" i="3"/>
  <c r="R40" i="3"/>
  <c r="Q40" i="3"/>
  <c r="P40" i="3"/>
  <c r="O40" i="3"/>
  <c r="M40" i="3"/>
  <c r="N40" i="3" s="1"/>
  <c r="S39" i="3"/>
  <c r="R39" i="3"/>
  <c r="M39" i="3"/>
  <c r="Q39" i="3" s="1"/>
  <c r="Q38" i="3"/>
  <c r="M38" i="3"/>
  <c r="S38" i="3" s="1"/>
  <c r="M37" i="3"/>
  <c r="D13" i="4" s="1"/>
  <c r="M36" i="3"/>
  <c r="R36" i="3" s="1"/>
  <c r="R35" i="3"/>
  <c r="Q35" i="3"/>
  <c r="P35" i="3"/>
  <c r="O35" i="3"/>
  <c r="N35" i="3"/>
  <c r="M35" i="3"/>
  <c r="S35" i="3" s="1"/>
  <c r="M34" i="3"/>
  <c r="N33" i="3"/>
  <c r="M33" i="3"/>
  <c r="O33" i="3" s="1"/>
  <c r="S32" i="3"/>
  <c r="M32" i="3"/>
  <c r="R32" i="3" s="1"/>
  <c r="M31" i="3"/>
  <c r="M30" i="3"/>
  <c r="P30" i="3" s="1"/>
  <c r="S29" i="3"/>
  <c r="R29" i="3"/>
  <c r="Q29" i="3"/>
  <c r="P29" i="3"/>
  <c r="O29" i="3"/>
  <c r="N29" i="3"/>
  <c r="M29" i="3"/>
  <c r="R28" i="3"/>
  <c r="Q28" i="3"/>
  <c r="P28" i="3"/>
  <c r="O28" i="3"/>
  <c r="M28" i="3"/>
  <c r="S28" i="3" s="1"/>
  <c r="M27" i="3"/>
  <c r="O27" i="3" s="1"/>
  <c r="S26" i="3"/>
  <c r="R26" i="3"/>
  <c r="Q26" i="3"/>
  <c r="O26" i="3"/>
  <c r="N26" i="3"/>
  <c r="M26" i="3"/>
  <c r="P26" i="3" s="1"/>
  <c r="M25" i="3"/>
  <c r="S25" i="3" s="1"/>
  <c r="S24" i="3"/>
  <c r="M24" i="3"/>
  <c r="S23" i="3"/>
  <c r="R23" i="3"/>
  <c r="Q23" i="3"/>
  <c r="P23" i="3"/>
  <c r="O23" i="3"/>
  <c r="N23" i="3"/>
  <c r="M23" i="3"/>
  <c r="S22" i="3"/>
  <c r="R22" i="3"/>
  <c r="Q22" i="3"/>
  <c r="M22" i="3"/>
  <c r="P22" i="3" s="1"/>
  <c r="Q21" i="3"/>
  <c r="P21" i="3"/>
  <c r="M21" i="3"/>
  <c r="S21" i="3" s="1"/>
  <c r="M20" i="3"/>
  <c r="Q20" i="3" s="1"/>
  <c r="S19" i="3"/>
  <c r="R19" i="3"/>
  <c r="Q19" i="3"/>
  <c r="P19" i="3"/>
  <c r="O19" i="3"/>
  <c r="N19" i="3"/>
  <c r="M19" i="3"/>
  <c r="M18" i="3"/>
  <c r="P17" i="3"/>
  <c r="N17" i="3"/>
  <c r="M17" i="3"/>
  <c r="M16" i="3"/>
  <c r="N16" i="3" s="1"/>
  <c r="S15" i="3"/>
  <c r="R15" i="3"/>
  <c r="M15" i="3"/>
  <c r="Q15" i="3" s="1"/>
  <c r="Q14" i="3"/>
  <c r="M14" i="3"/>
  <c r="S14" i="3" s="1"/>
  <c r="S13" i="3"/>
  <c r="R13" i="3"/>
  <c r="Q13" i="3"/>
  <c r="M13" i="3"/>
  <c r="P13" i="3" s="1"/>
  <c r="S12" i="3"/>
  <c r="R12" i="3"/>
  <c r="Q12" i="3"/>
  <c r="P12" i="3"/>
  <c r="O12" i="3"/>
  <c r="N12" i="3"/>
  <c r="M12" i="3"/>
  <c r="R11" i="3"/>
  <c r="Q11" i="3"/>
  <c r="P11" i="3"/>
  <c r="O11" i="3"/>
  <c r="N11" i="3"/>
  <c r="M11" i="3"/>
  <c r="D5" i="4" s="1"/>
  <c r="I5" i="4" s="1"/>
  <c r="M10" i="3"/>
  <c r="O10" i="3" s="1"/>
  <c r="S9" i="3"/>
  <c r="R9" i="3"/>
  <c r="M9" i="3"/>
  <c r="O9" i="3" s="1"/>
  <c r="S8" i="3"/>
  <c r="M8" i="3"/>
  <c r="R8" i="3" s="1"/>
  <c r="M7" i="3"/>
  <c r="R7" i="3" s="1"/>
  <c r="M6" i="3"/>
  <c r="P6" i="3" s="1"/>
  <c r="S5" i="3"/>
  <c r="R5" i="3"/>
  <c r="Q5" i="3"/>
  <c r="P5" i="3"/>
  <c r="O5" i="3"/>
  <c r="N5" i="3"/>
  <c r="M5" i="3"/>
  <c r="R4" i="3"/>
  <c r="Q4" i="3"/>
  <c r="P4" i="3"/>
  <c r="O4" i="3"/>
  <c r="M4" i="3"/>
  <c r="S4" i="3" s="1"/>
  <c r="P3" i="3"/>
  <c r="N3" i="3"/>
  <c r="M3" i="3"/>
  <c r="S3" i="3" s="1"/>
  <c r="M2" i="3"/>
  <c r="D2" i="4" s="1"/>
  <c r="F2" i="4" s="1"/>
  <c r="N36" i="3" l="1"/>
  <c r="O36" i="3"/>
  <c r="Q36" i="3"/>
  <c r="P36" i="3"/>
  <c r="S36" i="3"/>
  <c r="N61" i="3"/>
  <c r="D25" i="4"/>
  <c r="R72" i="3"/>
  <c r="Q72" i="3"/>
  <c r="P72" i="3"/>
  <c r="O72" i="3"/>
  <c r="F10" i="4"/>
  <c r="P10" i="3"/>
  <c r="R57" i="3"/>
  <c r="S57" i="3"/>
  <c r="S61" i="3"/>
  <c r="O68" i="3"/>
  <c r="J2" i="4"/>
  <c r="G13" i="4"/>
  <c r="J3" i="4"/>
  <c r="I3" i="4"/>
  <c r="S31" i="3"/>
  <c r="Q31" i="3"/>
  <c r="P31" i="3"/>
  <c r="O31" i="3"/>
  <c r="N31" i="3"/>
  <c r="O16" i="3"/>
  <c r="P68" i="3"/>
  <c r="O58" i="3"/>
  <c r="F3" i="4"/>
  <c r="P2" i="3"/>
  <c r="E3" i="4"/>
  <c r="Q27" i="3"/>
  <c r="H10" i="4" s="1"/>
  <c r="N37" i="3"/>
  <c r="E13" i="4" s="1"/>
  <c r="P58" i="3"/>
  <c r="G3" i="4"/>
  <c r="N41" i="3"/>
  <c r="O37" i="3"/>
  <c r="F13" i="4" s="1"/>
  <c r="R48" i="3"/>
  <c r="Q48" i="3"/>
  <c r="P48" i="3"/>
  <c r="O48" i="3"/>
  <c r="H3" i="4"/>
  <c r="I2" i="4"/>
  <c r="H2" i="4"/>
  <c r="G2" i="4"/>
  <c r="E2" i="4"/>
  <c r="S30" i="3"/>
  <c r="N2" i="3"/>
  <c r="R2" i="3"/>
  <c r="S6" i="3"/>
  <c r="S17" i="3"/>
  <c r="R17" i="3"/>
  <c r="Q17" i="3"/>
  <c r="P33" i="3"/>
  <c r="P37" i="3"/>
  <c r="N48" i="3"/>
  <c r="O64" i="3"/>
  <c r="N64" i="3"/>
  <c r="N30" i="3"/>
  <c r="O30" i="3"/>
  <c r="J19" i="4"/>
  <c r="I19" i="4"/>
  <c r="H19" i="4"/>
  <c r="G19" i="4"/>
  <c r="F19" i="4"/>
  <c r="E19" i="4"/>
  <c r="P27" i="3"/>
  <c r="G10" i="4" s="1"/>
  <c r="D17" i="4"/>
  <c r="N10" i="3"/>
  <c r="S68" i="3"/>
  <c r="D24" i="4"/>
  <c r="O6" i="3"/>
  <c r="Q16" i="3"/>
  <c r="Q6" i="3"/>
  <c r="R6" i="3"/>
  <c r="Q33" i="3"/>
  <c r="S48" i="3"/>
  <c r="O3" i="3"/>
  <c r="N7" i="3"/>
  <c r="O17" i="3"/>
  <c r="R33" i="3"/>
  <c r="R37" i="3"/>
  <c r="I13" i="4" s="1"/>
  <c r="S44" i="3"/>
  <c r="D16" i="4"/>
  <c r="Q64" i="3"/>
  <c r="S10" i="3"/>
  <c r="R10" i="3"/>
  <c r="D15" i="4"/>
  <c r="S41" i="3"/>
  <c r="R41" i="3"/>
  <c r="Q41" i="3"/>
  <c r="P41" i="3"/>
  <c r="R30" i="3"/>
  <c r="N68" i="3"/>
  <c r="R31" i="3"/>
  <c r="S33" i="3"/>
  <c r="P61" i="3"/>
  <c r="Q10" i="3"/>
  <c r="R61" i="3"/>
  <c r="N27" i="3"/>
  <c r="E10" i="4" s="1"/>
  <c r="Q2" i="3"/>
  <c r="D20" i="4"/>
  <c r="Q42" i="3"/>
  <c r="N42" i="3"/>
  <c r="S42" i="3"/>
  <c r="P42" i="3"/>
  <c r="R42" i="3"/>
  <c r="O42" i="3"/>
  <c r="Q3" i="3"/>
  <c r="P44" i="3"/>
  <c r="P54" i="3"/>
  <c r="S65" i="3"/>
  <c r="R65" i="3"/>
  <c r="Q65" i="3"/>
  <c r="P65" i="3"/>
  <c r="D23" i="4"/>
  <c r="Q30" i="3"/>
  <c r="Q57" i="3"/>
  <c r="R20" i="3"/>
  <c r="Q68" i="3"/>
  <c r="R16" i="3"/>
  <c r="Q37" i="3"/>
  <c r="H13" i="4" s="1"/>
  <c r="S34" i="3"/>
  <c r="R34" i="3"/>
  <c r="Q34" i="3"/>
  <c r="O34" i="3"/>
  <c r="N65" i="3"/>
  <c r="D7" i="4"/>
  <c r="N20" i="3"/>
  <c r="O20" i="3"/>
  <c r="O61" i="3"/>
  <c r="P20" i="3"/>
  <c r="Q61" i="3"/>
  <c r="S58" i="3"/>
  <c r="R58" i="3"/>
  <c r="Q58" i="3"/>
  <c r="P16" i="3"/>
  <c r="P18" i="3"/>
  <c r="O18" i="3"/>
  <c r="N18" i="3"/>
  <c r="S18" i="3"/>
  <c r="R18" i="3"/>
  <c r="Q18" i="3"/>
  <c r="N9" i="3"/>
  <c r="N13" i="3"/>
  <c r="P34" i="3"/>
  <c r="R44" i="3"/>
  <c r="R54" i="3"/>
  <c r="O65" i="3"/>
  <c r="H21" i="4"/>
  <c r="J21" i="4"/>
  <c r="I21" i="4"/>
  <c r="G21" i="4"/>
  <c r="F21" i="4"/>
  <c r="E21" i="4"/>
  <c r="N6" i="3"/>
  <c r="S2" i="3"/>
  <c r="S16" i="3"/>
  <c r="S37" i="3"/>
  <c r="N34" i="3"/>
  <c r="Q54" i="3"/>
  <c r="Q66" i="3"/>
  <c r="S66" i="3"/>
  <c r="P66" i="3"/>
  <c r="O66" i="3"/>
  <c r="R66" i="3"/>
  <c r="N66" i="3"/>
  <c r="D8" i="4"/>
  <c r="S20" i="3"/>
  <c r="P57" i="3"/>
  <c r="F5" i="4"/>
  <c r="E5" i="4"/>
  <c r="J5" i="4"/>
  <c r="H5" i="4"/>
  <c r="G5" i="4"/>
  <c r="S27" i="3"/>
  <c r="R27" i="3"/>
  <c r="I10" i="4" s="1"/>
  <c r="O2" i="3"/>
  <c r="S7" i="3"/>
  <c r="Q7" i="3"/>
  <c r="P7" i="3"/>
  <c r="O7" i="3"/>
  <c r="D11" i="4"/>
  <c r="R3" i="3"/>
  <c r="Q44" i="3"/>
  <c r="P9" i="3"/>
  <c r="O13" i="3"/>
  <c r="R24" i="3"/>
  <c r="Q24" i="3"/>
  <c r="P24" i="3"/>
  <c r="O24" i="3"/>
  <c r="D9" i="4"/>
  <c r="Q9" i="3"/>
  <c r="N24" i="3"/>
  <c r="D18" i="4"/>
  <c r="S51" i="3"/>
  <c r="R51" i="3"/>
  <c r="S55" i="3"/>
  <c r="Q55" i="3"/>
  <c r="P55" i="3"/>
  <c r="O55" i="3"/>
  <c r="N55" i="3"/>
  <c r="D6" i="4"/>
  <c r="N14" i="3"/>
  <c r="D14" i="4"/>
  <c r="N38" i="3"/>
  <c r="N62" i="3"/>
  <c r="O14" i="3"/>
  <c r="N21" i="3"/>
  <c r="O38" i="3"/>
  <c r="N45" i="3"/>
  <c r="O62" i="3"/>
  <c r="N69" i="3"/>
  <c r="D4" i="4"/>
  <c r="N4" i="3"/>
  <c r="P14" i="3"/>
  <c r="O21" i="3"/>
  <c r="N28" i="3"/>
  <c r="P38" i="3"/>
  <c r="O45" i="3"/>
  <c r="N52" i="3"/>
  <c r="P62" i="3"/>
  <c r="O69" i="3"/>
  <c r="R38" i="3"/>
  <c r="P25" i="3"/>
  <c r="R14" i="3"/>
  <c r="R21" i="3"/>
  <c r="N49" i="3"/>
  <c r="S62" i="3"/>
  <c r="N73" i="3"/>
  <c r="N8" i="3"/>
  <c r="O25" i="3"/>
  <c r="N56" i="3"/>
  <c r="O73" i="3"/>
  <c r="O8" i="3"/>
  <c r="O32" i="3"/>
  <c r="P49" i="3"/>
  <c r="D22" i="4"/>
  <c r="P8" i="3"/>
  <c r="S11" i="3"/>
  <c r="O15" i="3"/>
  <c r="N22" i="3"/>
  <c r="Q25" i="3"/>
  <c r="P32" i="3"/>
  <c r="O39" i="3"/>
  <c r="N46" i="3"/>
  <c r="Q49" i="3"/>
  <c r="P56" i="3"/>
  <c r="O63" i="3"/>
  <c r="N70" i="3"/>
  <c r="Q73" i="3"/>
  <c r="N25" i="3"/>
  <c r="N32" i="3"/>
  <c r="N15" i="3"/>
  <c r="N39" i="3"/>
  <c r="N63" i="3"/>
  <c r="P73" i="3"/>
  <c r="Q8" i="3"/>
  <c r="P15" i="3"/>
  <c r="O22" i="3"/>
  <c r="R25" i="3"/>
  <c r="Q32" i="3"/>
  <c r="P39" i="3"/>
  <c r="O46" i="3"/>
  <c r="R49" i="3"/>
  <c r="Q56" i="3"/>
  <c r="P63" i="3"/>
  <c r="O70" i="3"/>
  <c r="R73" i="3"/>
  <c r="D12" i="4"/>
  <c r="O49" i="3"/>
  <c r="O56" i="3"/>
  <c r="J13" i="4" l="1"/>
  <c r="J10" i="4"/>
  <c r="H15" i="4"/>
  <c r="E15" i="4"/>
  <c r="G15" i="4"/>
  <c r="F15" i="4"/>
  <c r="J15" i="4"/>
  <c r="I15" i="4"/>
  <c r="G11" i="4"/>
  <c r="I11" i="4"/>
  <c r="E11" i="4"/>
  <c r="F11" i="4"/>
  <c r="H11" i="4"/>
  <c r="H14" i="4"/>
  <c r="I14" i="4"/>
  <c r="J14" i="4"/>
  <c r="G14" i="4"/>
  <c r="F14" i="4"/>
  <c r="E14" i="4"/>
  <c r="G16" i="4"/>
  <c r="F16" i="4"/>
  <c r="E16" i="4"/>
  <c r="J16" i="4"/>
  <c r="I16" i="4"/>
  <c r="H16" i="4"/>
  <c r="E6" i="4"/>
  <c r="J6" i="4"/>
  <c r="I6" i="4"/>
  <c r="H6" i="4"/>
  <c r="G6" i="4"/>
  <c r="F6" i="4"/>
  <c r="J20" i="4"/>
  <c r="I20" i="4"/>
  <c r="H20" i="4"/>
  <c r="G20" i="4"/>
  <c r="F20" i="4"/>
  <c r="E20" i="4"/>
  <c r="J18" i="4"/>
  <c r="H18" i="4"/>
  <c r="G18" i="4"/>
  <c r="F18" i="4"/>
  <c r="I18" i="4"/>
  <c r="E18" i="4"/>
  <c r="E12" i="4"/>
  <c r="I12" i="4"/>
  <c r="G12" i="4"/>
  <c r="F12" i="4"/>
  <c r="H12" i="4"/>
  <c r="J25" i="4"/>
  <c r="I25" i="4"/>
  <c r="H25" i="4"/>
  <c r="G25" i="4"/>
  <c r="F25" i="4"/>
  <c r="E25" i="4"/>
  <c r="H7" i="4"/>
  <c r="G7" i="4"/>
  <c r="F7" i="4"/>
  <c r="E7" i="4"/>
  <c r="I7" i="4"/>
  <c r="H9" i="4"/>
  <c r="G9" i="4"/>
  <c r="F9" i="4"/>
  <c r="I9" i="4"/>
  <c r="E9" i="4"/>
  <c r="J9" i="4"/>
  <c r="I8" i="4"/>
  <c r="H8" i="4"/>
  <c r="F8" i="4"/>
  <c r="E8" i="4"/>
  <c r="G8" i="4"/>
  <c r="J24" i="4"/>
  <c r="I24" i="4"/>
  <c r="H24" i="4"/>
  <c r="G24" i="4"/>
  <c r="F24" i="4"/>
  <c r="E24" i="4"/>
  <c r="I4" i="4"/>
  <c r="H4" i="4"/>
  <c r="G4" i="4"/>
  <c r="F4" i="4"/>
  <c r="E4" i="4"/>
  <c r="G22" i="4"/>
  <c r="F22" i="4"/>
  <c r="E22" i="4"/>
  <c r="J22" i="4"/>
  <c r="I22" i="4"/>
  <c r="H22" i="4"/>
  <c r="J23" i="4"/>
  <c r="I23" i="4"/>
  <c r="H23" i="4"/>
  <c r="G23" i="4"/>
  <c r="F23" i="4"/>
  <c r="E23" i="4"/>
  <c r="J17" i="4"/>
  <c r="I17" i="4"/>
  <c r="H17" i="4"/>
  <c r="G17" i="4"/>
  <c r="F17" i="4"/>
  <c r="E17" i="4"/>
  <c r="J12" i="4" l="1"/>
  <c r="J7" i="4"/>
  <c r="J4" i="4"/>
  <c r="J8" i="4"/>
  <c r="J11" i="4"/>
</calcChain>
</file>

<file path=xl/sharedStrings.xml><?xml version="1.0" encoding="utf-8"?>
<sst xmlns="http://schemas.openxmlformats.org/spreadsheetml/2006/main" count="1219" uniqueCount="246">
  <si>
    <t>RunID</t>
  </si>
  <si>
    <t>Komponente</t>
  </si>
  <si>
    <t>Aktionsklasse</t>
  </si>
  <si>
    <t>LoggingProfil</t>
  </si>
  <si>
    <t>Wiederholung</t>
  </si>
  <si>
    <t>BAMStatus</t>
  </si>
  <si>
    <t>SID</t>
  </si>
  <si>
    <t>ExecutablePath</t>
  </si>
  <si>
    <t>ExecutionTimeUTC</t>
  </si>
  <si>
    <t>ExecutionTimeLocal</t>
  </si>
  <si>
    <t>KeyPath</t>
  </si>
  <si>
    <t>SourceHive</t>
  </si>
  <si>
    <t>PS-A1-P0-R01</t>
  </si>
  <si>
    <t>PS</t>
  </si>
  <si>
    <t>A1</t>
  </si>
  <si>
    <t>P0</t>
  </si>
  <si>
    <t>R01</t>
  </si>
  <si>
    <t>Kein passender BAM-Eintrag</t>
  </si>
  <si>
    <t>E:\KAPE_Runs\PS-A1-P0\PS-A1-P0-R01\KAPE\C\Windows\System32\config\SYSTEM</t>
  </si>
  <si>
    <t>PS-A1-P0-R02</t>
  </si>
  <si>
    <t>R02</t>
  </si>
  <si>
    <t>E:\KAPE_Runs\PS-A1-P0\PS-A1-P0-R02\KAPE\C\Windows\System32\config\SYSTEM</t>
  </si>
  <si>
    <t>PS-A1-P0-R03</t>
  </si>
  <si>
    <t>R03</t>
  </si>
  <si>
    <t>E:\KAPE_Runs\PS-A1-P0\PS-A1-P0-R03\KAPE\C\Windows\System32\config\SYSTEM</t>
  </si>
  <si>
    <t>PS-A1-P1-R01</t>
  </si>
  <si>
    <t>P1</t>
  </si>
  <si>
    <t>E:\KAPE_Runs\PS-A1-P1\PS-A1-P1-R01\KAPE\C\Windows\System32\config\SYSTEM</t>
  </si>
  <si>
    <t>PS-A1-P1-R02</t>
  </si>
  <si>
    <t>E:\KAPE_Runs\PS-A1-P1\PS-A1-P1-R02\KAPE\C\Windows\System32\config\SYSTEM</t>
  </si>
  <si>
    <t>PS-A1-P1-R03</t>
  </si>
  <si>
    <t>E:\KAPE_Runs\PS-A1-P1\PS-A1-P1-R03\KAPE\C\Windows\System32\config\SYSTEM</t>
  </si>
  <si>
    <t>PS-A1-P2-R01</t>
  </si>
  <si>
    <t>P2</t>
  </si>
  <si>
    <t>BAM-Eintrag vorhanden</t>
  </si>
  <si>
    <t>S-1-5-21-4065717026-3980475814-3063633344-1001</t>
  </si>
  <si>
    <t>\Device\HarddiskVolume3\Windows\System32\WindowsPowerShell\v1.0\powershell.exe</t>
  </si>
  <si>
    <t>2026-08-21 13:44:00.9766578</t>
  </si>
  <si>
    <t>2026-08-21 15:44:00.9766578</t>
  </si>
  <si>
    <t>ROOT\ControlSet001\Services\bam\State\UserSettings\S-1-5-21-4065717026-3980475814-3063633344-1001</t>
  </si>
  <si>
    <t>E:\KAPE_Runs\PS-A1-P2\PS-A1-P2-R01\KAPE\C\Windows\System32\config\SYSTEM</t>
  </si>
  <si>
    <t>PS-A1-P2-R02</t>
  </si>
  <si>
    <t>2026-08-21 13:53:44.7579311</t>
  </si>
  <si>
    <t>2026-08-21 15:53:44.7579311</t>
  </si>
  <si>
    <t>E:\KAPE_Runs\PS-A1-P2\PS-A1-P2-R02\KAPE\C\Windows\System32\config\SYSTEM</t>
  </si>
  <si>
    <t>PS-A1-P2-R03</t>
  </si>
  <si>
    <t>2026-08-02 14:09:05.9260236</t>
  </si>
  <si>
    <t>2026-08-02 16:09:05.9260236</t>
  </si>
  <si>
    <t>E:\KAPE_Runs\PS-A1-P2\PS-A1-P2-R03\KAPE\C\Windows\System32\config\SYSTEM</t>
  </si>
  <si>
    <t>PS-A2-P0-R01</t>
  </si>
  <si>
    <t>A2</t>
  </si>
  <si>
    <t>E:\KAPE_Runs\PS-A2-P0\PS-A2-P0-R01\KAPE\C\Windows\System32\config\SYSTEM</t>
  </si>
  <si>
    <t>PS-A2-P0-R02</t>
  </si>
  <si>
    <t>E:\KAPE_Runs\PS-A2-P0\PS-A2-P0-R02\KAPE\C\Windows\System32\config\SYSTEM</t>
  </si>
  <si>
    <t>PS-A2-P0-R03</t>
  </si>
  <si>
    <t>E:\KAPE_Runs\PS-A2-P0\PS-A2-P0-R03\KAPE\C\Windows\System32\config\SYSTEM</t>
  </si>
  <si>
    <t>PS-A2-P1-R01</t>
  </si>
  <si>
    <t>E:\KAPE_Runs\PS-A2-P1\PS-A2-P1-R01\KAPE\C\Windows\System32\config\SYSTEM</t>
  </si>
  <si>
    <t>PS-A2-P1-R02</t>
  </si>
  <si>
    <t>E:\KAPE_Runs\PS-A2-P1\PS-A2-P1-R02\KAPE\C\Windows\System32\config\SYSTEM</t>
  </si>
  <si>
    <t>PS-A2-P1-R03</t>
  </si>
  <si>
    <t>E:\KAPE_Runs\PS-A2-P1\PS-A2-P1-R03\KAPE\C\Windows\System32\config\SYSTEM</t>
  </si>
  <si>
    <t>PS-A2-P2-R01</t>
  </si>
  <si>
    <t>2026-08-21 14:09:30.9206787</t>
  </si>
  <si>
    <t>2026-08-21 16:09:30.9206787</t>
  </si>
  <si>
    <t>E:\KAPE_Runs\PS-A2-P2\PS-A2-P2-R01\KAPE\C\Windows\System32\config\SYSTEM</t>
  </si>
  <si>
    <t>PS-A2-P2-R02</t>
  </si>
  <si>
    <t>2026-08-21 14:18:32.4965953</t>
  </si>
  <si>
    <t>2026-08-21 16:18:32.4965953</t>
  </si>
  <si>
    <t>E:\KAPE_Runs\PS-A2-P2\PS-A2-P2-R02\KAPE\C\Windows\System32\config\SYSTEM</t>
  </si>
  <si>
    <t>PS-A2-P2-R03</t>
  </si>
  <si>
    <t>2026-08-21 14:29:22.3492797</t>
  </si>
  <si>
    <t>2026-08-21 16:29:22.3492797</t>
  </si>
  <si>
    <t>E:\KAPE_Runs\PS-A2-P2\PS-A2-P2-R03\KAPE\C\Windows\System32\config\SYSTEM</t>
  </si>
  <si>
    <t>MSHTA-A1-P0-R01</t>
  </si>
  <si>
    <t>MSHTA</t>
  </si>
  <si>
    <t>\Device\HarddiskVolume3\Windows\System32\mshta.exe</t>
  </si>
  <si>
    <t>2026-08-21 09:21:11.3171217</t>
  </si>
  <si>
    <t>2026-08-21 11:21:11.3171217</t>
  </si>
  <si>
    <t>E:\KAPE_Runs\MSHTA-A1-P0\MSHTA-A1-P0-R01\KAPE\C\Windows\System32\config\SYSTEM</t>
  </si>
  <si>
    <t>MSHTA-A1-P0-R02</t>
  </si>
  <si>
    <t>2026-08-21 09:28:03.6549092</t>
  </si>
  <si>
    <t>2026-08-21 11:28:03.6549092</t>
  </si>
  <si>
    <t>E:\KAPE_Runs\MSHTA-A1-P0\MSHTA-A1-P0-R02\KAPE\C\Windows\System32\config\SYSTEM</t>
  </si>
  <si>
    <t>MSHTA-A1-P0-R03</t>
  </si>
  <si>
    <t>2026-08-21 09:38:24.9834132</t>
  </si>
  <si>
    <t>2026-08-21 11:38:24.9834132</t>
  </si>
  <si>
    <t>E:\KAPE_Runs\MSHTA-A1-P0\MSHTA-A1-P0-R03\KAPE\C\Windows\System32\config\SYSTEM</t>
  </si>
  <si>
    <t>MSHTA-A1-P1-R01</t>
  </si>
  <si>
    <t>2026-08-21 11:38:19.3617324</t>
  </si>
  <si>
    <t>2026-08-21 13:38:19.3617324</t>
  </si>
  <si>
    <t>E:\KAPE_Runs\MSHTA-A1-P1\MSHTA-A1-P1-R01\KAPE\C\Windows\System32\config\SYSTEM</t>
  </si>
  <si>
    <t>MSHTA-A1-P1-R02</t>
  </si>
  <si>
    <t>2026-08-21 11:42:59.7603601</t>
  </si>
  <si>
    <t>2026-08-21 13:42:59.7603601</t>
  </si>
  <si>
    <t>E:\KAPE_Runs\MSHTA-A1-P1\MSHTA-A1-P1-R02\KAPE\C\Windows\System32\config\SYSTEM</t>
  </si>
  <si>
    <t>MSHTA-A1-P1-R03</t>
  </si>
  <si>
    <t>2026-08-21 11:47:40.6212335</t>
  </si>
  <si>
    <t>2026-08-21 13:47:40.6212335</t>
  </si>
  <si>
    <t>E:\KAPE_Runs\MSHTA-A1-P1\MSHTA-A1-P1-R03\KAPE\C\Windows\System32\config\SYSTEM</t>
  </si>
  <si>
    <t>MSHTA-A1-P2-R01</t>
  </si>
  <si>
    <t>2026-08-21 14:39:29.8815922</t>
  </si>
  <si>
    <t>2026-08-21 16:39:29.8815922</t>
  </si>
  <si>
    <t>E:\KAPE_Runs\MSHTA-A1-P2\MSHTA-A1-P2-R01\KAPE\C\Windows\System32\config\SYSTEM</t>
  </si>
  <si>
    <t>MSHTA-A1-P2-R02</t>
  </si>
  <si>
    <t>2026-08-21 14:56:25.3975755</t>
  </si>
  <si>
    <t>2026-08-21 16:56:25.3975755</t>
  </si>
  <si>
    <t>E:\KAPE_Runs\MSHTA-A1-P2\MSHTA-A1-P2-R02\KAPE\C\Windows\System32\config\SYSTEM</t>
  </si>
  <si>
    <t>MSHTA-A1-P2-R03</t>
  </si>
  <si>
    <t>2026-08-21 15:27:41.6032404</t>
  </si>
  <si>
    <t>2026-08-21 17:27:41.6032404</t>
  </si>
  <si>
    <t>E:\KAPE_Runs\MSHTA-A1-P2\MSHTA-A1-P2-R03\KAPE\C\Windows\System32\config\SYSTEM</t>
  </si>
  <si>
    <t>MSHTA-A2-P0-R01</t>
  </si>
  <si>
    <t>2026-08-21 09:44:14.1951427</t>
  </si>
  <si>
    <t>2026-08-21 11:44:14.1951427</t>
  </si>
  <si>
    <t>E:\KAPE_Runs\MSHTA-A2-P0\MSHTA-A2-P0-R01\KAPE\C\Windows\System32\config\SYSTEM</t>
  </si>
  <si>
    <t>MSHTA-A2-P0-R02</t>
  </si>
  <si>
    <t>2026-08-21 09:50:47.2965107</t>
  </si>
  <si>
    <t>2026-08-21 11:50:47.2965107</t>
  </si>
  <si>
    <t>E:\KAPE_Runs\MSHTA-A2-P0\MSHTA-A2-P0-R02\KAPE\C\Windows\System32\config\SYSTEM</t>
  </si>
  <si>
    <t>MSHTA-A2-P0-R03</t>
  </si>
  <si>
    <t>2026-08-21 09:55:54.6323758</t>
  </si>
  <si>
    <t>2026-08-21 11:55:54.6323758</t>
  </si>
  <si>
    <t>E:\KAPE_Runs\MSHTA-A2-P0\MSHTA-A2-P0-R03\KAPE\C\Windows\System32\config\SYSTEM</t>
  </si>
  <si>
    <t>MSHTA-A2-P1-R01</t>
  </si>
  <si>
    <t>2026-08-21 11:52:49.3309058</t>
  </si>
  <si>
    <t>2026-08-21 13:52:49.3309058</t>
  </si>
  <si>
    <t>E:\KAPE_Runs\MSHTA-A2-P1\MSHTA-A2-P1-R01\KAPE\C\Windows\System32\config\SYSTEM</t>
  </si>
  <si>
    <t>MSHTA-A2-P1-R02</t>
  </si>
  <si>
    <t>2026-08-21 11:59:12.6793692</t>
  </si>
  <si>
    <t>2026-08-21 13:59:12.6793692</t>
  </si>
  <si>
    <t>E:\KAPE_Runs\MSHTA-A2-P1\MSHTA-A2-P1-R02\KAPE\C\Windows\System32\config\SYSTEM</t>
  </si>
  <si>
    <t>MSHTA-A2-P1-R03</t>
  </si>
  <si>
    <t>2026-08-21 12:03:53.7586793</t>
  </si>
  <si>
    <t>2026-08-21 14:03:53.7586793</t>
  </si>
  <si>
    <t>E:\KAPE_Runs\MSHTA-A2-P1\MSHTA-A2-P1-R03\KAPE\C\Windows\System32\config\SYSTEM</t>
  </si>
  <si>
    <t>MSHTA-A2-P2-R01</t>
  </si>
  <si>
    <t>2026-08-09 11:20:25.2860063</t>
  </si>
  <si>
    <t>2026-08-09 13:20:25.2860063</t>
  </si>
  <si>
    <t>E:\KAPE_Runs\MSHTA-A2-P2\MSHTA-A2-P2-R01\KAPE\C\Windows\System32\config\SYSTEM</t>
  </si>
  <si>
    <t>MSHTA-A2-P2-R02</t>
  </si>
  <si>
    <t>2026-08-21 15:43:02.9369470</t>
  </si>
  <si>
    <t>2026-08-21 17:43:02.9369470</t>
  </si>
  <si>
    <t>E:\KAPE_Runs\MSHTA-A2-P2\MSHTA-A2-P2-R02\KAPE\C\Windows\System32\config\SYSTEM</t>
  </si>
  <si>
    <t>MSHTA-A2-P2-R03</t>
  </si>
  <si>
    <t>2026-08-21 15:51:32.7566131</t>
  </si>
  <si>
    <t>2026-08-21 17:51:32.7566131</t>
  </si>
  <si>
    <t>E:\KAPE_Runs\MSHTA-A2-P2\MSHTA-A2-P2-R03\KAPE\C\Windows\System32\config\SYSTEM</t>
  </si>
  <si>
    <t>REG-A1-P0-R01</t>
  </si>
  <si>
    <t>REG</t>
  </si>
  <si>
    <t>E:\KAPE_Runs\REG-A1-P0\REG-A1-P0-R01\KAPE\C\Windows\System32\config\SYSTEM</t>
  </si>
  <si>
    <t>REG-A1-P0-R02</t>
  </si>
  <si>
    <t>E:\KAPE_Runs\REG-A1-P0\REG-A1-P0-R02\KAPE\C\Windows\System32\config\SYSTEM</t>
  </si>
  <si>
    <t>REG-A1-P0-R03</t>
  </si>
  <si>
    <t>E:\KAPE_Runs\REG-A1-P0\REG-A1-P0-R03\KAPE\C\Windows\System32\config\SYSTEM</t>
  </si>
  <si>
    <t>REG-A1-P1-R01</t>
  </si>
  <si>
    <t>E:\KAPE_Runs\REG-A1-P1\REG-A1-P1-R01\KAPE\C\Windows\System32\config\SYSTEM</t>
  </si>
  <si>
    <t>REG-A1-P1-R02</t>
  </si>
  <si>
    <t>E:\KAPE_Runs\REG-A1-P1\REG-A1-P1-R02\KAPE\C\Windows\System32\config\SYSTEM</t>
  </si>
  <si>
    <t>REG-A1-P1-R03</t>
  </si>
  <si>
    <t>E:\KAPE_Runs\REG-A1-P1\REG-A1-P1-R03\KAPE\C\Windows\System32\config\SYSTEM</t>
  </si>
  <si>
    <t>REG-A1-P2-R01</t>
  </si>
  <si>
    <t>E:\KAPE_Runs\REG-A1-P2\REG-A1-P2-R01\KAPE\C\Windows\System32\config\SYSTEM</t>
  </si>
  <si>
    <t>REG-A1-P2-R02</t>
  </si>
  <si>
    <t>E:\KAPE_Runs\REG-A1-P2\REG-A1-P2-R02\KAPE\C\Windows\System32\config\SYSTEM</t>
  </si>
  <si>
    <t>REG-A1-P2-R03</t>
  </si>
  <si>
    <t>E:\KAPE_Runs\REG-A1-P2\REG-A1-P2-R03\KAPE\C\Windows\System32\config\SYSTEM</t>
  </si>
  <si>
    <t>REG-A2-P0-R01</t>
  </si>
  <si>
    <t>E:\KAPE_Runs\REG-A2-P0\REG-A2-P0-R01\KAPE\C\Windows\System32\config\SYSTEM</t>
  </si>
  <si>
    <t>REG-A2-P0-R02</t>
  </si>
  <si>
    <t>E:\KAPE_Runs\REG-A2-P0\REG-A2-P0-R02\KAPE\C\Windows\System32\config\SYSTEM</t>
  </si>
  <si>
    <t>REG-A2-P0-R03</t>
  </si>
  <si>
    <t>E:\KAPE_Runs\REG-A2-P0\REG-A2-P0-R03\KAPE\C\Windows\System32\config\SYSTEM</t>
  </si>
  <si>
    <t>REG-A2-P1-R01</t>
  </si>
  <si>
    <t>E:\KAPE_Runs\REG-A2-P1\REG-A2-P1-R01\KAPE\C\Windows\System32\config\SYSTEM</t>
  </si>
  <si>
    <t>REG-A2-P1-R02</t>
  </si>
  <si>
    <t>E:\KAPE_Runs\REG-A2-P1\REG-A2-P1-R02\KAPE\C\Windows\System32\config\SYSTEM</t>
  </si>
  <si>
    <t>REG-A2-P1-R03</t>
  </si>
  <si>
    <t>E:\KAPE_Runs\REG-A2-P1\REG-A2-P1-R03\KAPE\C\Windows\System32\config\SYSTEM</t>
  </si>
  <si>
    <t>REG-A2-P2-R01</t>
  </si>
  <si>
    <t>E:\KAPE_Runs\REG-A2-P2\REG-A2-P2-R01\KAPE\C\Windows\System32\config\SYSTEM</t>
  </si>
  <si>
    <t>REG-A2-P2-R02</t>
  </si>
  <si>
    <t>E:\KAPE_Runs\REG-A2-P2\REG-A2-P2-R02\KAPE\C\Windows\System32\config\SYSTEM</t>
  </si>
  <si>
    <t>REG-A2-P2-R03</t>
  </si>
  <si>
    <t>E:\KAPE_Runs\REG-A2-P2\REG-A2-P2-R03\KAPE\C\Windows\System32\config\SYSTEM</t>
  </si>
  <si>
    <t>CSCRIPT-A1-P0-R01</t>
  </si>
  <si>
    <t>CSCRIPT</t>
  </si>
  <si>
    <t>E:\KAPE_Runs\CSCRIPT-A1-P0\CSCRIPT-A1-P0-R01\KAPE\C\Windows\System32\config\SYSTEM</t>
  </si>
  <si>
    <t>CSCRIPT-A1-P0-R02</t>
  </si>
  <si>
    <t>E:\KAPE_Runs\CSCRIPT-A1-P0\CSCRIPT-A1-P0-R02\KAPE\C\Windows\System32\config\SYSTEM</t>
  </si>
  <si>
    <t>CSCRIPT-A1-P0-R03</t>
  </si>
  <si>
    <t>E:\KAPE_Runs\CSCRIPT-A1-P0\CSCRIPT-A1-P0-R03\KAPE\C\Windows\System32\config\SYSTEM</t>
  </si>
  <si>
    <t>CSCRIPT-A1-P1-R01</t>
  </si>
  <si>
    <t>E:\KAPE_Runs\CSCRIPT-A1-P1\CSCRIPT-A1-P1-R01\KAPE\C\Windows\System32\config\SYSTEM</t>
  </si>
  <si>
    <t>CSCRIPT-A1-P1-R02</t>
  </si>
  <si>
    <t>E:\KAPE_Runs\CSCRIPT-A1-P1\CSCRIPT-A1-P1-R02\KAPE\C\Windows\System32\config\SYSTEM</t>
  </si>
  <si>
    <t>CSCRIPT-A1-P1-R03</t>
  </si>
  <si>
    <t>E:\KAPE_Runs\CSCRIPT-A1-P1\CSCRIPT-A1-P1-R03\KAPE\C\Windows\System32\config\SYSTEM</t>
  </si>
  <si>
    <t>CSCRIPT-A1-P2-R01</t>
  </si>
  <si>
    <t>E:\KAPE_Runs\CSCRIPT-A1-P2\CSCRIPT-A1-P2-R01\KAPE\C\Windows\System32\config\SYSTEM</t>
  </si>
  <si>
    <t>CSCRIPT-A1-P2-R02</t>
  </si>
  <si>
    <t>E:\KAPE_Runs\CSCRIPT-A1-P2\CSCRIPT-A1-P2-R02\KAPE\C\Windows\System32\config\SYSTEM</t>
  </si>
  <si>
    <t>CSCRIPT-A1-P2-R03</t>
  </si>
  <si>
    <t>E:\KAPE_Runs\CSCRIPT-A1-P2\CSCRIPT-A1-P2-R03\KAPE\C\Windows\System32\config\SYSTEM</t>
  </si>
  <si>
    <t>CSCRIPT-A2-P0-R01</t>
  </si>
  <si>
    <t>E:\KAPE_Runs\CSCRIPT-A2-P0\CSCRIPT-A2-P0-R01\KAPE\C\Windows\System32\config\SYSTEM</t>
  </si>
  <si>
    <t>CSCRIPT-A2-P0-R02</t>
  </si>
  <si>
    <t>E:\KAPE_Runs\CSCRIPT-A2-P0\CSCRIPT-A2-P0-R02\KAPE\C\Windows\System32\config\SYSTEM</t>
  </si>
  <si>
    <t>CSCRIPT-A2-P0-R03</t>
  </si>
  <si>
    <t>E:\KAPE_Runs\CSCRIPT-A2-P0\CSCRIPT-A2-P0-R03\KAPE\C\Windows\System32\config\SYSTEM</t>
  </si>
  <si>
    <t>CSCRIPT-A2-P1-R01</t>
  </si>
  <si>
    <t>E:\KAPE_Runs\CSCRIPT-A2-P1\CSCRIPT-A2-P1-R01\KAPE\C\Windows\System32\config\SYSTEM</t>
  </si>
  <si>
    <t>CSCRIPT-A2-P1-R02</t>
  </si>
  <si>
    <t>E:\KAPE_Runs\CSCRIPT-A2-P1\CSCRIPT-A2-P1-R02\KAPE\C\Windows\System32\config\SYSTEM</t>
  </si>
  <si>
    <t>CSCRIPT-A2-P1-R03</t>
  </si>
  <si>
    <t>E:\KAPE_Runs\CSCRIPT-A2-P1\CSCRIPT-A2-P1-R03\KAPE\C\Windows\System32\config\SYSTEM</t>
  </si>
  <si>
    <t>CSCRIPT-A2-P2-R01</t>
  </si>
  <si>
    <t>E:\KAPE_Runs\CSCRIPT-A2-P2\CSCRIPT-A2-P2-R01\KAPE\C\Windows\System32\config\SYSTEM</t>
  </si>
  <si>
    <t>CSCRIPT-A2-P2-R02</t>
  </si>
  <si>
    <t>E:\KAPE_Runs\CSCRIPT-A2-P2\CSCRIPT-A2-P2-R02\KAPE\C\Windows\System32\config\SYSTEM</t>
  </si>
  <si>
    <t>CSCRIPT-A2-P2-R03</t>
  </si>
  <si>
    <t>E:\KAPE_Runs\CSCRIPT-A2-P2\CSCRIPT-A2-P2-R03\KAPE\C\Windows\System32\config\SYSTEM</t>
  </si>
  <si>
    <t>Run-ID</t>
  </si>
  <si>
    <t>BAM-Status (bewertet)</t>
  </si>
  <si>
    <t>ExecutionTime UTC</t>
  </si>
  <si>
    <t>ExecutionTime lokal (+02:00)</t>
  </si>
  <si>
    <t>RunStart lokal (+02:00)</t>
  </si>
  <si>
    <t>ProcessEnd lokal (+02:00)</t>
  </si>
  <si>
    <t>Nachweis</t>
  </si>
  <si>
    <t>K</t>
  </si>
  <si>
    <t>T</t>
  </si>
  <si>
    <t>U</t>
  </si>
  <si>
    <t>A</t>
  </si>
  <si>
    <t>H</t>
  </si>
  <si>
    <t>Kurzbegründung</t>
  </si>
  <si>
    <t>PowerShell</t>
  </si>
  <si>
    <t>Mshta</t>
  </si>
  <si>
    <t>Regsvr32</t>
  </si>
  <si>
    <t>Cscript</t>
  </si>
  <si>
    <t>Logging-Profil</t>
  </si>
  <si>
    <t>DR</t>
  </si>
  <si>
    <t>Matrixzelle</t>
  </si>
  <si>
    <t>BAM-Treffer im Execution-Zeitraum</t>
  </si>
  <si>
    <t>BAM-Eintrag vorhanden, Ausführungszeit nicht im Execution-Zeitraum</t>
  </si>
  <si>
    <t>Der Zeitbezug erhält T2. Der BAM-Befund enthält mit der ExecutionTime einen eigenen Zeitwert. Bei allen als Nachweis gewerteten Einträgen lag dieser innerhalb des jeweiligen Execution-Zeitraums oder innerhalb der festgelegten Toleranz von 0,01 Sekunden an der Intervallgrenze. Dadurch war eine eindeutige zeitliche Zuordnung zum jeweiligen Experimentlauf möglich. Der Run PS-A1-P2-R03 zeigt gleichzeitig, dass ein vorhandener BAM-Eintrag ohne passenden Zeitbezug nicht als Detection gewertet wurde.
Der Benutzerkontext wird mit U1 bewertet. Die BAM-Einträge befinden sich innerhalb eines benutzerspezifischen UserSettings-Unterschlüssels. Im Registry-Pfad ist dabei die SID des zugeordneten Benutzerkontos enthalten. Dadurch ist grundsätzlich ein Benutzerbezug vorhanden. BAM liefert in den ausgewerteten Daten jedoch keinen direkt aufgelösten Benutzernamen wie labadmin, sondern nur die SID. Deshalb wird der Benutzerkontext mit U1 und nicht mit U2 bewertet.
Der Aufrufkontext erhält A0. BAM enthält keine Informationen zur verwendeten Kommandozeile, zu übergebenen Parametern oder zu verwendeten Skript-, HTA- beziehungsweise SCT-Dateien. Auch ein Parent-Prozess wird nicht dokumentiert. Aus dem BAM-Befund lässt sich deshalb zwar ein Bezug zur Ausführung der jeweiligen ausführbaren Datei herstellen, aber nicht nachvollziehen, wie diese im Experiment konkret aufgerufen wurde.
Der Handlungskontext wird mit H0 bewertet. Aus BAM allein lässt sich nicht erkennen, welche konkrete Aktion durch die jeweilige Komponente ausgeführt wurde. Insbesondere kann nicht unterschieden werden, ob die lokale Aktionsklasse A1 oder der kontrollierte Download aus A2 durchgeführt wurde. Die erzeugten Ergebnisdateien unter C:\Lab\Outputs\A1 beziehungsweise C:\Lab\Outputs\A2 werden durch BAM nicht abgebildet. Ebenso enthält die Artefaktquelle keine Netzwerk-, DNS- oder vergleichbaren Informationen, aus denen sich die konkrete Handlung ableiten ließe.
Für einen erfolgreichen und dem jeweiligen Experimentlauf zeitlich zuordenbaren BAM-Befund ergibt sich damit insgesamt das Profil K2 T2 U1 A0 H0. BAM liefert einen direkten Bezug zur ausgeführten Komponente und ermöglicht eine zeitliche sowie indirekte benutzerbezogene Einordnung. Informationen zum konkreten Aufruf oder zur ausgeführten Handlung sind in der Artefaktquelle dagegen nicht enthalten. Bei fehlenden oder zeitlich nicht dem jeweiligen Experimentlauf zuordenbaren BAM-Einträgen wird Detection = 0 vergeben. Die Merkmale K, T, U, A und H werden in diesen Fällen nicht bewertet und mit - dargestellt.</t>
  </si>
  <si>
    <t xml:space="preserve">Bewertungsbegründung: BAM ist unabhängig von den in dieser Arbeit definierten Logging-Profilen P0, P1 und P2 Bestandteil des Windows-Betriebssystems und wird deshalb grundsätzlich in allen drei Profilen als anwendbare Artefaktquelle betrachtet. Ein Nachweis wird nur dann angenommen, wenn für die jeweils untersuchte Komponente ein passender BAM-Eintrag vorhanden ist und sich dessen durch RECmd ausgelesene ExecutionTime dem entsprechenden Experimentlauf zeitlich zuordnen lässt. Das alleinige Vorhandensein eines BAM-Eintrags reicht deshalb nicht aus, um einen run-spezifischen Nachweis anzunehmen.
Bei einzelnen Mshta-Runs lag die ExecutionTime geringfügig nach dem in der RunTabelle dokumentierten ProcessEnd. Die beobachteten Abweichungen lagen dabei nur im Bereich von etwa 0,001 bis 0,007 Sekunden. Für die zeitliche Zuordnung wurde deshalb eine einheitliche Toleranz von 0,01 Sekunden berücksichtigt. Einträge mit einer größeren zeitlichen Abweichung wurden nicht als Nachweis des jeweiligen Experimentlaufs gewertet. Die Toleranz dient dabei nur zur Behandlung dieser sehr kleinen Abweichungen an der Intervallgrenze und nicht dazu, ältere BAM-Einträge einem aktuellen Run zuzuordnen.
Für mshta.exe konnten in allen 18 Experimentläufen passende und zeitlich zuordenbare BAM-Einträge festgestellt werden. Damit ergibt sich für Mshta in beiden Aktionsklassen und in allen drei Logging-Profilen jeweils eine Detection Reliability von 3/3. Bei powershell.exe traten passende BAM-Einträge nur in den P2-Runs auf. Fünf dieser sechs Einträge konnten dem jeweiligen Experimentlauf zeitlich zugeordnet werden. Im Run PS-A1-P2-R03 war zwar ein BAM-Eintrag für powershell.exe vorhanden, dessen ExecutionTime lag jedoch deutlich vor dem aktuellen Experimentlauf. Dieser Eintrag wurde deshalb nicht als run-spezifischer Nachweis gewertet. Für PowerShell ergibt sich unter P2 damit eine Detection Reliability von 2/3 für A1 und 3/3 für A2. Für regsvr32.exe und cscript.exe konnten in den untersuchten Runs keine passenden BAM-Einträge festgestellt werden.
Die Unterschiede zwischen den Komponenten und Logging-Profilen werden an dieser Stelle zunächst nur als Beobachtung aus dem Experiment beschrieben. Insbesondere lässt sich aus dem Auftreten der PowerShell-BAM-Einträge ausschließlich unter P2 nicht direkt ableiten, dass die zusätzlichen Logging-Einstellungen dieses Profils dafür verantwortlich sind. BAM selbst wurde durch die Logging-Profile nicht gezielt verändert.
Der Komponentenbezug wird mit K2 bewertet. Ein erfolgreicher BAM-Befund enthält den vollständigen Pfad der ausführbaren Datei, beispielsweise \Device\HarddiskVolume3\Windows\System32\mshta.exe oder den entsprechenden Pfad von powershell.exe. Dadurch kann die untersuchte Komponente direkt aus dem BAM-Eintrag identifiziert werden. Der Komponentenbezug ergibt sich somit aus der Artefaktquelle selbst und nicht aus experimentell vergebenen Dateinamen oder aus Informationen anderer Artefaktquellen.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</si>
</sst>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00"/>
  </numFmts>
  <fonts count="3">
    <font>
      <sz val="11"/>
      <name val="Carlito"/>
    </font>
    <font>
      <b/>
      <sz val="11"/>
      <color rgb="FFFFFFFF"/>
      <name val="Carlito"/>
    </font>
    <font>
      <sz val="11"/>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cellStyleXfs>
  <cellXfs count="9">
    <xf numFmtId="0" fontId="0" fillId="0" borderId="0" xfId="0"/>
    <xf numFmtId="0" fontId="1" fillId="2" borderId="0" xfId="1" applyFont="1" applyFill="1" applyAlignment="1">
      <alignment horizontal="center" vertical="center" wrapText="1"/>
    </xf>
    <xf numFmtId="0" fontId="0" fillId="0" borderId="0" xfId="1" applyFont="1" applyAlignment="1">
      <alignment wrapText="1"/>
    </xf>
    <xf numFmtId="0" fontId="1" fillId="2" borderId="0" xfId="1" applyFont="1" applyFill="1" applyAlignment="1">
      <alignment horizontal="center" vertical="top" wrapText="1"/>
    </xf>
    <xf numFmtId="0" fontId="0" fillId="0" borderId="0" xfId="1" applyFont="1" applyAlignment="1">
      <alignment vertical="top" wrapText="1"/>
    </xf>
    <xf numFmtId="0" fontId="0" fillId="0" borderId="0" xfId="1" applyFont="1" applyAlignment="1">
      <alignment horizontal="center" vertical="top" wrapText="1"/>
    </xf>
    <xf numFmtId="0" fontId="0" fillId="0" borderId="0" xfId="1" applyFont="1" applyAlignment="1">
      <alignment horizontal="center" wrapText="1"/>
    </xf>
    <xf numFmtId="164" fontId="0" fillId="0" borderId="0" xfId="1" applyNumberFormat="1" applyFont="1" applyAlignment="1">
      <alignment vertical="top" wrapText="1"/>
    </xf>
    <xf numFmtId="0" fontId="0" fillId="0" borderId="0" xfId="0" applyAlignment="1">
      <alignment horizontal="left" vertical="top" wrapText="1"/>
    </xf>
  </cellXfs>
  <cellStyles count="2">
    <cellStyle name="Normal" xfId="1" xr:uid="{00000000-0005-0000-0000-000000000000}"/>
    <cellStyle name="Standard" xfId="0" builtinId="0"/>
  </cellStyles>
  <dxfs count="3">
    <dxf>
      <font>
        <color rgb="FF7F6000"/>
      </font>
      <fill>
        <patternFill>
          <bgColor rgb="FFFFF2CC"/>
        </patternFill>
      </fill>
    </dxf>
    <dxf>
      <font>
        <color rgb="FF9C0006"/>
      </font>
      <fill>
        <patternFill>
          <bgColor rgb="FFFDE9D9"/>
        </patternFill>
      </fill>
    </dxf>
    <dxf>
      <font>
        <color rgb="FF375623"/>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MRohdaten" displayName="BAMRohdaten" ref="A1:L73" totalsRowShown="0">
  <tableColumns count="12">
    <tableColumn id="1" xr3:uid="{00000000-0010-0000-0000-000001000000}" name="RunID"/>
    <tableColumn id="2" xr3:uid="{00000000-0010-0000-0000-000002000000}" name="Komponente"/>
    <tableColumn id="3" xr3:uid="{00000000-0010-0000-0000-000003000000}" name="Aktionsklasse"/>
    <tableColumn id="4" xr3:uid="{00000000-0010-0000-0000-000004000000}" name="LoggingProfil"/>
    <tableColumn id="5" xr3:uid="{00000000-0010-0000-0000-000005000000}" name="Wiederholung"/>
    <tableColumn id="6" xr3:uid="{00000000-0010-0000-0000-000006000000}" name="BAMStatus"/>
    <tableColumn id="7" xr3:uid="{00000000-0010-0000-0000-000007000000}" name="SID"/>
    <tableColumn id="8" xr3:uid="{00000000-0010-0000-0000-000008000000}" name="ExecutablePath"/>
    <tableColumn id="9" xr3:uid="{00000000-0010-0000-0000-000009000000}" name="ExecutionTimeUTC"/>
    <tableColumn id="10" xr3:uid="{00000000-0010-0000-0000-00000A000000}" name="ExecutionTimeLocal"/>
    <tableColumn id="11" xr3:uid="{00000000-0010-0000-0000-00000B000000}" name="KeyPath"/>
    <tableColumn id="12" xr3:uid="{00000000-0010-0000-0000-00000C000000}" name="SourceHiv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AMRunLevel" displayName="BAMRunLevel" ref="A1:S73" totalsRowShown="0">
  <tableColumns count="19">
    <tableColumn id="1" xr3:uid="{00000000-0010-0000-0100-000001000000}" name="Run-ID"/>
    <tableColumn id="2" xr3:uid="{00000000-0010-0000-0100-000002000000}" name="Komponente"/>
    <tableColumn id="3" xr3:uid="{00000000-0010-0000-0100-000003000000}" name="Aktionsklasse"/>
    <tableColumn id="4" xr3:uid="{00000000-0010-0000-0100-000004000000}" name="LoggingProfil"/>
    <tableColumn id="5" xr3:uid="{00000000-0010-0000-0100-000005000000}" name="Wiederholung"/>
    <tableColumn id="6" xr3:uid="{00000000-0010-0000-0100-000006000000}" name="BAM-Status (bewertet)"/>
    <tableColumn id="7" xr3:uid="{00000000-0010-0000-0100-000007000000}" name="SID"/>
    <tableColumn id="8" xr3:uid="{00000000-0010-0000-0100-000008000000}" name="ExecutablePath"/>
    <tableColumn id="9" xr3:uid="{00000000-0010-0000-0100-000009000000}" name="ExecutionTime UTC"/>
    <tableColumn id="10" xr3:uid="{00000000-0010-0000-0100-00000A000000}" name="ExecutionTime lokal (+02:00)"/>
    <tableColumn id="11" xr3:uid="{00000000-0010-0000-0100-00000B000000}" name="RunStart lokal (+02:00)"/>
    <tableColumn id="12" xr3:uid="{00000000-0010-0000-0100-00000C000000}" name="ProcessEnd lokal (+02:00)"/>
    <tableColumn id="13" xr3:uid="{00000000-0010-0000-0100-00000D000000}" name="Nachweis"/>
    <tableColumn id="14" xr3:uid="{00000000-0010-0000-0100-00000E000000}" name="K"/>
    <tableColumn id="15" xr3:uid="{00000000-0010-0000-0100-00000F000000}" name="T"/>
    <tableColumn id="16" xr3:uid="{00000000-0010-0000-0100-000010000000}" name="U"/>
    <tableColumn id="17" xr3:uid="{00000000-0010-0000-0100-000011000000}" name="A"/>
    <tableColumn id="18" xr3:uid="{00000000-0010-0000-0100-000012000000}" name="H"/>
    <tableColumn id="19" xr3:uid="{00000000-0010-0000-0100-000013000000}" name="Kurzbegründu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AMAggregiert" displayName="BAMAggregiert" ref="A1:J25" totalsRowShown="0">
  <tableColumns count="10">
    <tableColumn id="1" xr3:uid="{00000000-0010-0000-0200-000001000000}" name="Komponente"/>
    <tableColumn id="2" xr3:uid="{00000000-0010-0000-0200-000002000000}" name="Aktionsklasse"/>
    <tableColumn id="3" xr3:uid="{00000000-0010-0000-0200-000003000000}" name="Logging-Profil"/>
    <tableColumn id="4" xr3:uid="{00000000-0010-0000-0200-000004000000}" name="DR"/>
    <tableColumn id="5" xr3:uid="{00000000-0010-0000-0200-000005000000}" name="K"/>
    <tableColumn id="6" xr3:uid="{00000000-0010-0000-0200-000006000000}" name="T"/>
    <tableColumn id="7" xr3:uid="{00000000-0010-0000-0200-000007000000}" name="U"/>
    <tableColumn id="8" xr3:uid="{00000000-0010-0000-0200-000008000000}" name="A"/>
    <tableColumn id="9" xr3:uid="{00000000-0010-0000-0200-000009000000}" name="H"/>
    <tableColumn id="10" xr3:uid="{00000000-0010-0000-0200-00000A000000}" name="Matrixzel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3"/>
  <sheetViews>
    <sheetView topLeftCell="A40" workbookViewId="0"/>
  </sheetViews>
  <sheetFormatPr baseColWidth="10" defaultColWidth="9" defaultRowHeight="14.25"/>
  <cols>
    <col min="1" max="1" width="20" customWidth="1"/>
    <col min="2" max="2" width="14" customWidth="1"/>
    <col min="3" max="3" width="13" customWidth="1"/>
    <col min="4" max="4" width="14" customWidth="1"/>
    <col min="5" max="5" width="12" customWidth="1"/>
    <col min="6" max="6" width="31" customWidth="1"/>
    <col min="7" max="7" width="43" customWidth="1"/>
    <col min="8" max="8" width="52" customWidth="1"/>
    <col min="9" max="10" width="28" customWidth="1"/>
    <col min="11" max="11" width="65" customWidth="1"/>
    <col min="12" max="12" width="72" customWidth="1"/>
  </cols>
  <sheetData>
    <row r="1" spans="1:12" ht="30">
      <c r="A1" s="3" t="s">
        <v>0</v>
      </c>
      <c r="B1" s="3" t="s">
        <v>1</v>
      </c>
      <c r="C1" s="3" t="s">
        <v>2</v>
      </c>
      <c r="D1" s="3" t="s">
        <v>3</v>
      </c>
      <c r="E1" s="3" t="s">
        <v>4</v>
      </c>
      <c r="F1" s="3" t="s">
        <v>5</v>
      </c>
      <c r="G1" s="3" t="s">
        <v>6</v>
      </c>
      <c r="H1" s="3" t="s">
        <v>7</v>
      </c>
      <c r="I1" s="3" t="s">
        <v>8</v>
      </c>
      <c r="J1" s="3" t="s">
        <v>9</v>
      </c>
      <c r="K1" s="3" t="s">
        <v>10</v>
      </c>
      <c r="L1" s="3" t="s">
        <v>11</v>
      </c>
    </row>
    <row r="2" spans="1:12" ht="36" customHeight="1">
      <c r="A2" s="4" t="s">
        <v>12</v>
      </c>
      <c r="B2" s="4" t="s">
        <v>13</v>
      </c>
      <c r="C2" s="4" t="s">
        <v>14</v>
      </c>
      <c r="D2" s="4" t="s">
        <v>15</v>
      </c>
      <c r="E2" s="4" t="s">
        <v>16</v>
      </c>
      <c r="F2" s="4" t="s">
        <v>17</v>
      </c>
      <c r="G2" s="4"/>
      <c r="H2" s="4"/>
      <c r="I2" s="4"/>
      <c r="J2" s="4"/>
      <c r="K2" s="4"/>
      <c r="L2" s="4" t="s">
        <v>18</v>
      </c>
    </row>
    <row r="3" spans="1:12" ht="36" customHeight="1">
      <c r="A3" s="4" t="s">
        <v>19</v>
      </c>
      <c r="B3" s="4" t="s">
        <v>13</v>
      </c>
      <c r="C3" s="4" t="s">
        <v>14</v>
      </c>
      <c r="D3" s="4" t="s">
        <v>15</v>
      </c>
      <c r="E3" s="4" t="s">
        <v>20</v>
      </c>
      <c r="F3" s="4" t="s">
        <v>17</v>
      </c>
      <c r="G3" s="4"/>
      <c r="H3" s="4"/>
      <c r="I3" s="4"/>
      <c r="J3" s="4"/>
      <c r="K3" s="4"/>
      <c r="L3" s="4" t="s">
        <v>21</v>
      </c>
    </row>
    <row r="4" spans="1:12" ht="36" customHeight="1">
      <c r="A4" s="4" t="s">
        <v>22</v>
      </c>
      <c r="B4" s="4" t="s">
        <v>13</v>
      </c>
      <c r="C4" s="4" t="s">
        <v>14</v>
      </c>
      <c r="D4" s="4" t="s">
        <v>15</v>
      </c>
      <c r="E4" s="4" t="s">
        <v>23</v>
      </c>
      <c r="F4" s="4" t="s">
        <v>17</v>
      </c>
      <c r="G4" s="4"/>
      <c r="H4" s="4"/>
      <c r="I4" s="4"/>
      <c r="J4" s="4"/>
      <c r="K4" s="4"/>
      <c r="L4" s="4" t="s">
        <v>24</v>
      </c>
    </row>
    <row r="5" spans="1:12" ht="36" customHeight="1">
      <c r="A5" s="4" t="s">
        <v>25</v>
      </c>
      <c r="B5" s="4" t="s">
        <v>13</v>
      </c>
      <c r="C5" s="4" t="s">
        <v>14</v>
      </c>
      <c r="D5" s="4" t="s">
        <v>26</v>
      </c>
      <c r="E5" s="4" t="s">
        <v>16</v>
      </c>
      <c r="F5" s="4" t="s">
        <v>17</v>
      </c>
      <c r="G5" s="4"/>
      <c r="H5" s="4"/>
      <c r="I5" s="4"/>
      <c r="J5" s="4"/>
      <c r="K5" s="4"/>
      <c r="L5" s="4" t="s">
        <v>27</v>
      </c>
    </row>
    <row r="6" spans="1:12" ht="36" customHeight="1">
      <c r="A6" s="4" t="s">
        <v>28</v>
      </c>
      <c r="B6" s="4" t="s">
        <v>13</v>
      </c>
      <c r="C6" s="4" t="s">
        <v>14</v>
      </c>
      <c r="D6" s="4" t="s">
        <v>26</v>
      </c>
      <c r="E6" s="4" t="s">
        <v>20</v>
      </c>
      <c r="F6" s="4" t="s">
        <v>17</v>
      </c>
      <c r="G6" s="4"/>
      <c r="H6" s="4"/>
      <c r="I6" s="4"/>
      <c r="J6" s="4"/>
      <c r="K6" s="4"/>
      <c r="L6" s="4" t="s">
        <v>29</v>
      </c>
    </row>
    <row r="7" spans="1:12" ht="36" customHeight="1">
      <c r="A7" s="4" t="s">
        <v>30</v>
      </c>
      <c r="B7" s="4" t="s">
        <v>13</v>
      </c>
      <c r="C7" s="4" t="s">
        <v>14</v>
      </c>
      <c r="D7" s="4" t="s">
        <v>26</v>
      </c>
      <c r="E7" s="4" t="s">
        <v>23</v>
      </c>
      <c r="F7" s="4" t="s">
        <v>17</v>
      </c>
      <c r="G7" s="4"/>
      <c r="H7" s="4"/>
      <c r="I7" s="4"/>
      <c r="J7" s="4"/>
      <c r="K7" s="4"/>
      <c r="L7" s="4" t="s">
        <v>31</v>
      </c>
    </row>
    <row r="8" spans="1:12" ht="36" customHeight="1">
      <c r="A8" s="4" t="s">
        <v>32</v>
      </c>
      <c r="B8" s="4" t="s">
        <v>13</v>
      </c>
      <c r="C8" s="4" t="s">
        <v>14</v>
      </c>
      <c r="D8" s="4" t="s">
        <v>33</v>
      </c>
      <c r="E8" s="4" t="s">
        <v>16</v>
      </c>
      <c r="F8" s="4" t="s">
        <v>34</v>
      </c>
      <c r="G8" s="4" t="s">
        <v>35</v>
      </c>
      <c r="H8" s="4" t="s">
        <v>36</v>
      </c>
      <c r="I8" s="4" t="s">
        <v>37</v>
      </c>
      <c r="J8" s="4" t="s">
        <v>38</v>
      </c>
      <c r="K8" s="4" t="s">
        <v>39</v>
      </c>
      <c r="L8" s="4" t="s">
        <v>40</v>
      </c>
    </row>
    <row r="9" spans="1:12" ht="36" customHeight="1">
      <c r="A9" s="4" t="s">
        <v>41</v>
      </c>
      <c r="B9" s="4" t="s">
        <v>13</v>
      </c>
      <c r="C9" s="4" t="s">
        <v>14</v>
      </c>
      <c r="D9" s="4" t="s">
        <v>33</v>
      </c>
      <c r="E9" s="4" t="s">
        <v>20</v>
      </c>
      <c r="F9" s="4" t="s">
        <v>34</v>
      </c>
      <c r="G9" s="4" t="s">
        <v>35</v>
      </c>
      <c r="H9" s="4" t="s">
        <v>36</v>
      </c>
      <c r="I9" s="4" t="s">
        <v>42</v>
      </c>
      <c r="J9" s="4" t="s">
        <v>43</v>
      </c>
      <c r="K9" s="4" t="s">
        <v>39</v>
      </c>
      <c r="L9" s="4" t="s">
        <v>44</v>
      </c>
    </row>
    <row r="10" spans="1:12" ht="36" customHeight="1">
      <c r="A10" s="4" t="s">
        <v>45</v>
      </c>
      <c r="B10" s="4" t="s">
        <v>13</v>
      </c>
      <c r="C10" s="4" t="s">
        <v>14</v>
      </c>
      <c r="D10" s="4" t="s">
        <v>33</v>
      </c>
      <c r="E10" s="4" t="s">
        <v>23</v>
      </c>
      <c r="F10" s="4" t="s">
        <v>34</v>
      </c>
      <c r="G10" s="4" t="s">
        <v>35</v>
      </c>
      <c r="H10" s="4" t="s">
        <v>36</v>
      </c>
      <c r="I10" s="4" t="s">
        <v>46</v>
      </c>
      <c r="J10" s="4" t="s">
        <v>47</v>
      </c>
      <c r="K10" s="4" t="s">
        <v>39</v>
      </c>
      <c r="L10" s="4" t="s">
        <v>48</v>
      </c>
    </row>
    <row r="11" spans="1:12" ht="36" customHeight="1">
      <c r="A11" s="4" t="s">
        <v>49</v>
      </c>
      <c r="B11" s="4" t="s">
        <v>13</v>
      </c>
      <c r="C11" s="4" t="s">
        <v>50</v>
      </c>
      <c r="D11" s="4" t="s">
        <v>15</v>
      </c>
      <c r="E11" s="4" t="s">
        <v>16</v>
      </c>
      <c r="F11" s="4" t="s">
        <v>17</v>
      </c>
      <c r="G11" s="4"/>
      <c r="H11" s="4"/>
      <c r="I11" s="4"/>
      <c r="J11" s="4"/>
      <c r="K11" s="4"/>
      <c r="L11" s="4" t="s">
        <v>51</v>
      </c>
    </row>
    <row r="12" spans="1:12" ht="36" customHeight="1">
      <c r="A12" s="4" t="s">
        <v>52</v>
      </c>
      <c r="B12" s="4" t="s">
        <v>13</v>
      </c>
      <c r="C12" s="4" t="s">
        <v>50</v>
      </c>
      <c r="D12" s="4" t="s">
        <v>15</v>
      </c>
      <c r="E12" s="4" t="s">
        <v>20</v>
      </c>
      <c r="F12" s="4" t="s">
        <v>17</v>
      </c>
      <c r="G12" s="4"/>
      <c r="H12" s="4"/>
      <c r="I12" s="4"/>
      <c r="J12" s="4"/>
      <c r="K12" s="4"/>
      <c r="L12" s="4" t="s">
        <v>53</v>
      </c>
    </row>
    <row r="13" spans="1:12" ht="36" customHeight="1">
      <c r="A13" s="4" t="s">
        <v>54</v>
      </c>
      <c r="B13" s="4" t="s">
        <v>13</v>
      </c>
      <c r="C13" s="4" t="s">
        <v>50</v>
      </c>
      <c r="D13" s="4" t="s">
        <v>15</v>
      </c>
      <c r="E13" s="4" t="s">
        <v>23</v>
      </c>
      <c r="F13" s="4" t="s">
        <v>17</v>
      </c>
      <c r="G13" s="4"/>
      <c r="H13" s="4"/>
      <c r="I13" s="4"/>
      <c r="J13" s="4"/>
      <c r="K13" s="4"/>
      <c r="L13" s="4" t="s">
        <v>55</v>
      </c>
    </row>
    <row r="14" spans="1:12" ht="36" customHeight="1">
      <c r="A14" s="4" t="s">
        <v>56</v>
      </c>
      <c r="B14" s="4" t="s">
        <v>13</v>
      </c>
      <c r="C14" s="4" t="s">
        <v>50</v>
      </c>
      <c r="D14" s="4" t="s">
        <v>26</v>
      </c>
      <c r="E14" s="4" t="s">
        <v>16</v>
      </c>
      <c r="F14" s="4" t="s">
        <v>17</v>
      </c>
      <c r="G14" s="4"/>
      <c r="H14" s="4"/>
      <c r="I14" s="4"/>
      <c r="J14" s="4"/>
      <c r="K14" s="4"/>
      <c r="L14" s="4" t="s">
        <v>57</v>
      </c>
    </row>
    <row r="15" spans="1:12" ht="36" customHeight="1">
      <c r="A15" s="4" t="s">
        <v>58</v>
      </c>
      <c r="B15" s="4" t="s">
        <v>13</v>
      </c>
      <c r="C15" s="4" t="s">
        <v>50</v>
      </c>
      <c r="D15" s="4" t="s">
        <v>26</v>
      </c>
      <c r="E15" s="4" t="s">
        <v>20</v>
      </c>
      <c r="F15" s="4" t="s">
        <v>17</v>
      </c>
      <c r="G15" s="4"/>
      <c r="H15" s="4"/>
      <c r="I15" s="4"/>
      <c r="J15" s="4"/>
      <c r="K15" s="4"/>
      <c r="L15" s="4" t="s">
        <v>59</v>
      </c>
    </row>
    <row r="16" spans="1:12" ht="36" customHeight="1">
      <c r="A16" s="4" t="s">
        <v>60</v>
      </c>
      <c r="B16" s="4" t="s">
        <v>13</v>
      </c>
      <c r="C16" s="4" t="s">
        <v>50</v>
      </c>
      <c r="D16" s="4" t="s">
        <v>26</v>
      </c>
      <c r="E16" s="4" t="s">
        <v>23</v>
      </c>
      <c r="F16" s="4" t="s">
        <v>17</v>
      </c>
      <c r="G16" s="4"/>
      <c r="H16" s="4"/>
      <c r="I16" s="4"/>
      <c r="J16" s="4"/>
      <c r="K16" s="4"/>
      <c r="L16" s="4" t="s">
        <v>61</v>
      </c>
    </row>
    <row r="17" spans="1:12" ht="36" customHeight="1">
      <c r="A17" s="4" t="s">
        <v>62</v>
      </c>
      <c r="B17" s="4" t="s">
        <v>13</v>
      </c>
      <c r="C17" s="4" t="s">
        <v>50</v>
      </c>
      <c r="D17" s="4" t="s">
        <v>33</v>
      </c>
      <c r="E17" s="4" t="s">
        <v>16</v>
      </c>
      <c r="F17" s="4" t="s">
        <v>34</v>
      </c>
      <c r="G17" s="4" t="s">
        <v>35</v>
      </c>
      <c r="H17" s="4" t="s">
        <v>36</v>
      </c>
      <c r="I17" s="4" t="s">
        <v>63</v>
      </c>
      <c r="J17" s="4" t="s">
        <v>64</v>
      </c>
      <c r="K17" s="4" t="s">
        <v>39</v>
      </c>
      <c r="L17" s="4" t="s">
        <v>65</v>
      </c>
    </row>
    <row r="18" spans="1:12" ht="36" customHeight="1">
      <c r="A18" s="4" t="s">
        <v>66</v>
      </c>
      <c r="B18" s="4" t="s">
        <v>13</v>
      </c>
      <c r="C18" s="4" t="s">
        <v>50</v>
      </c>
      <c r="D18" s="4" t="s">
        <v>33</v>
      </c>
      <c r="E18" s="4" t="s">
        <v>20</v>
      </c>
      <c r="F18" s="4" t="s">
        <v>34</v>
      </c>
      <c r="G18" s="4" t="s">
        <v>35</v>
      </c>
      <c r="H18" s="4" t="s">
        <v>36</v>
      </c>
      <c r="I18" s="4" t="s">
        <v>67</v>
      </c>
      <c r="J18" s="4" t="s">
        <v>68</v>
      </c>
      <c r="K18" s="4" t="s">
        <v>39</v>
      </c>
      <c r="L18" s="4" t="s">
        <v>69</v>
      </c>
    </row>
    <row r="19" spans="1:12" ht="36" customHeight="1">
      <c r="A19" s="4" t="s">
        <v>70</v>
      </c>
      <c r="B19" s="4" t="s">
        <v>13</v>
      </c>
      <c r="C19" s="4" t="s">
        <v>50</v>
      </c>
      <c r="D19" s="4" t="s">
        <v>33</v>
      </c>
      <c r="E19" s="4" t="s">
        <v>23</v>
      </c>
      <c r="F19" s="4" t="s">
        <v>34</v>
      </c>
      <c r="G19" s="4" t="s">
        <v>35</v>
      </c>
      <c r="H19" s="4" t="s">
        <v>36</v>
      </c>
      <c r="I19" s="4" t="s">
        <v>71</v>
      </c>
      <c r="J19" s="4" t="s">
        <v>72</v>
      </c>
      <c r="K19" s="4" t="s">
        <v>39</v>
      </c>
      <c r="L19" s="4" t="s">
        <v>73</v>
      </c>
    </row>
    <row r="20" spans="1:12" ht="36" customHeight="1">
      <c r="A20" s="4" t="s">
        <v>74</v>
      </c>
      <c r="B20" s="4" t="s">
        <v>75</v>
      </c>
      <c r="C20" s="4" t="s">
        <v>14</v>
      </c>
      <c r="D20" s="4" t="s">
        <v>15</v>
      </c>
      <c r="E20" s="4" t="s">
        <v>16</v>
      </c>
      <c r="F20" s="4" t="s">
        <v>34</v>
      </c>
      <c r="G20" s="4" t="s">
        <v>35</v>
      </c>
      <c r="H20" s="4" t="s">
        <v>76</v>
      </c>
      <c r="I20" s="4" t="s">
        <v>77</v>
      </c>
      <c r="J20" s="4" t="s">
        <v>78</v>
      </c>
      <c r="K20" s="4" t="s">
        <v>39</v>
      </c>
      <c r="L20" s="4" t="s">
        <v>79</v>
      </c>
    </row>
    <row r="21" spans="1:12" ht="36" customHeight="1">
      <c r="A21" s="4" t="s">
        <v>80</v>
      </c>
      <c r="B21" s="4" t="s">
        <v>75</v>
      </c>
      <c r="C21" s="4" t="s">
        <v>14</v>
      </c>
      <c r="D21" s="4" t="s">
        <v>15</v>
      </c>
      <c r="E21" s="4" t="s">
        <v>20</v>
      </c>
      <c r="F21" s="4" t="s">
        <v>34</v>
      </c>
      <c r="G21" s="4" t="s">
        <v>35</v>
      </c>
      <c r="H21" s="4" t="s">
        <v>76</v>
      </c>
      <c r="I21" s="4" t="s">
        <v>81</v>
      </c>
      <c r="J21" s="4" t="s">
        <v>82</v>
      </c>
      <c r="K21" s="4" t="s">
        <v>39</v>
      </c>
      <c r="L21" s="4" t="s">
        <v>83</v>
      </c>
    </row>
    <row r="22" spans="1:12" ht="36" customHeight="1">
      <c r="A22" s="4" t="s">
        <v>84</v>
      </c>
      <c r="B22" s="4" t="s">
        <v>75</v>
      </c>
      <c r="C22" s="4" t="s">
        <v>14</v>
      </c>
      <c r="D22" s="4" t="s">
        <v>15</v>
      </c>
      <c r="E22" s="4" t="s">
        <v>23</v>
      </c>
      <c r="F22" s="4" t="s">
        <v>34</v>
      </c>
      <c r="G22" s="4" t="s">
        <v>35</v>
      </c>
      <c r="H22" s="4" t="s">
        <v>76</v>
      </c>
      <c r="I22" s="4" t="s">
        <v>85</v>
      </c>
      <c r="J22" s="4" t="s">
        <v>86</v>
      </c>
      <c r="K22" s="4" t="s">
        <v>39</v>
      </c>
      <c r="L22" s="4" t="s">
        <v>87</v>
      </c>
    </row>
    <row r="23" spans="1:12" ht="36" customHeight="1">
      <c r="A23" s="4" t="s">
        <v>88</v>
      </c>
      <c r="B23" s="4" t="s">
        <v>75</v>
      </c>
      <c r="C23" s="4" t="s">
        <v>14</v>
      </c>
      <c r="D23" s="4" t="s">
        <v>26</v>
      </c>
      <c r="E23" s="4" t="s">
        <v>16</v>
      </c>
      <c r="F23" s="4" t="s">
        <v>34</v>
      </c>
      <c r="G23" s="4" t="s">
        <v>35</v>
      </c>
      <c r="H23" s="4" t="s">
        <v>76</v>
      </c>
      <c r="I23" s="4" t="s">
        <v>89</v>
      </c>
      <c r="J23" s="4" t="s">
        <v>90</v>
      </c>
      <c r="K23" s="4" t="s">
        <v>39</v>
      </c>
      <c r="L23" s="4" t="s">
        <v>91</v>
      </c>
    </row>
    <row r="24" spans="1:12" ht="36" customHeight="1">
      <c r="A24" s="4" t="s">
        <v>92</v>
      </c>
      <c r="B24" s="4" t="s">
        <v>75</v>
      </c>
      <c r="C24" s="4" t="s">
        <v>14</v>
      </c>
      <c r="D24" s="4" t="s">
        <v>26</v>
      </c>
      <c r="E24" s="4" t="s">
        <v>20</v>
      </c>
      <c r="F24" s="4" t="s">
        <v>34</v>
      </c>
      <c r="G24" s="4" t="s">
        <v>35</v>
      </c>
      <c r="H24" s="4" t="s">
        <v>76</v>
      </c>
      <c r="I24" s="4" t="s">
        <v>93</v>
      </c>
      <c r="J24" s="4" t="s">
        <v>94</v>
      </c>
      <c r="K24" s="4" t="s">
        <v>39</v>
      </c>
      <c r="L24" s="4" t="s">
        <v>95</v>
      </c>
    </row>
    <row r="25" spans="1:12" ht="36" customHeight="1">
      <c r="A25" s="4" t="s">
        <v>96</v>
      </c>
      <c r="B25" s="4" t="s">
        <v>75</v>
      </c>
      <c r="C25" s="4" t="s">
        <v>14</v>
      </c>
      <c r="D25" s="4" t="s">
        <v>26</v>
      </c>
      <c r="E25" s="4" t="s">
        <v>23</v>
      </c>
      <c r="F25" s="4" t="s">
        <v>34</v>
      </c>
      <c r="G25" s="4" t="s">
        <v>35</v>
      </c>
      <c r="H25" s="4" t="s">
        <v>76</v>
      </c>
      <c r="I25" s="4" t="s">
        <v>97</v>
      </c>
      <c r="J25" s="4" t="s">
        <v>98</v>
      </c>
      <c r="K25" s="4" t="s">
        <v>39</v>
      </c>
      <c r="L25" s="4" t="s">
        <v>99</v>
      </c>
    </row>
    <row r="26" spans="1:12" ht="36" customHeight="1">
      <c r="A26" s="4" t="s">
        <v>100</v>
      </c>
      <c r="B26" s="4" t="s">
        <v>75</v>
      </c>
      <c r="C26" s="4" t="s">
        <v>14</v>
      </c>
      <c r="D26" s="4" t="s">
        <v>33</v>
      </c>
      <c r="E26" s="4" t="s">
        <v>16</v>
      </c>
      <c r="F26" s="4" t="s">
        <v>34</v>
      </c>
      <c r="G26" s="4" t="s">
        <v>35</v>
      </c>
      <c r="H26" s="4" t="s">
        <v>76</v>
      </c>
      <c r="I26" s="4" t="s">
        <v>101</v>
      </c>
      <c r="J26" s="4" t="s">
        <v>102</v>
      </c>
      <c r="K26" s="4" t="s">
        <v>39</v>
      </c>
      <c r="L26" s="4" t="s">
        <v>103</v>
      </c>
    </row>
    <row r="27" spans="1:12" ht="36" customHeight="1">
      <c r="A27" s="4" t="s">
        <v>104</v>
      </c>
      <c r="B27" s="4" t="s">
        <v>75</v>
      </c>
      <c r="C27" s="4" t="s">
        <v>14</v>
      </c>
      <c r="D27" s="4" t="s">
        <v>33</v>
      </c>
      <c r="E27" s="4" t="s">
        <v>20</v>
      </c>
      <c r="F27" s="4" t="s">
        <v>34</v>
      </c>
      <c r="G27" s="4" t="s">
        <v>35</v>
      </c>
      <c r="H27" s="4" t="s">
        <v>76</v>
      </c>
      <c r="I27" s="4" t="s">
        <v>105</v>
      </c>
      <c r="J27" s="4" t="s">
        <v>106</v>
      </c>
      <c r="K27" s="4" t="s">
        <v>39</v>
      </c>
      <c r="L27" s="4" t="s">
        <v>107</v>
      </c>
    </row>
    <row r="28" spans="1:12" ht="36" customHeight="1">
      <c r="A28" s="4" t="s">
        <v>108</v>
      </c>
      <c r="B28" s="4" t="s">
        <v>75</v>
      </c>
      <c r="C28" s="4" t="s">
        <v>14</v>
      </c>
      <c r="D28" s="4" t="s">
        <v>33</v>
      </c>
      <c r="E28" s="4" t="s">
        <v>23</v>
      </c>
      <c r="F28" s="4" t="s">
        <v>34</v>
      </c>
      <c r="G28" s="4" t="s">
        <v>35</v>
      </c>
      <c r="H28" s="4" t="s">
        <v>76</v>
      </c>
      <c r="I28" s="4" t="s">
        <v>109</v>
      </c>
      <c r="J28" s="4" t="s">
        <v>110</v>
      </c>
      <c r="K28" s="4" t="s">
        <v>39</v>
      </c>
      <c r="L28" s="4" t="s">
        <v>111</v>
      </c>
    </row>
    <row r="29" spans="1:12" ht="36" customHeight="1">
      <c r="A29" s="4" t="s">
        <v>112</v>
      </c>
      <c r="B29" s="4" t="s">
        <v>75</v>
      </c>
      <c r="C29" s="4" t="s">
        <v>50</v>
      </c>
      <c r="D29" s="4" t="s">
        <v>15</v>
      </c>
      <c r="E29" s="4" t="s">
        <v>16</v>
      </c>
      <c r="F29" s="4" t="s">
        <v>34</v>
      </c>
      <c r="G29" s="4" t="s">
        <v>35</v>
      </c>
      <c r="H29" s="4" t="s">
        <v>76</v>
      </c>
      <c r="I29" s="4" t="s">
        <v>113</v>
      </c>
      <c r="J29" s="4" t="s">
        <v>114</v>
      </c>
      <c r="K29" s="4" t="s">
        <v>39</v>
      </c>
      <c r="L29" s="4" t="s">
        <v>115</v>
      </c>
    </row>
    <row r="30" spans="1:12" ht="36" customHeight="1">
      <c r="A30" s="4" t="s">
        <v>116</v>
      </c>
      <c r="B30" s="4" t="s">
        <v>75</v>
      </c>
      <c r="C30" s="4" t="s">
        <v>50</v>
      </c>
      <c r="D30" s="4" t="s">
        <v>15</v>
      </c>
      <c r="E30" s="4" t="s">
        <v>20</v>
      </c>
      <c r="F30" s="4" t="s">
        <v>34</v>
      </c>
      <c r="G30" s="4" t="s">
        <v>35</v>
      </c>
      <c r="H30" s="4" t="s">
        <v>76</v>
      </c>
      <c r="I30" s="4" t="s">
        <v>117</v>
      </c>
      <c r="J30" s="4" t="s">
        <v>118</v>
      </c>
      <c r="K30" s="4" t="s">
        <v>39</v>
      </c>
      <c r="L30" s="4" t="s">
        <v>119</v>
      </c>
    </row>
    <row r="31" spans="1:12" ht="36" customHeight="1">
      <c r="A31" s="4" t="s">
        <v>120</v>
      </c>
      <c r="B31" s="4" t="s">
        <v>75</v>
      </c>
      <c r="C31" s="4" t="s">
        <v>50</v>
      </c>
      <c r="D31" s="4" t="s">
        <v>15</v>
      </c>
      <c r="E31" s="4" t="s">
        <v>23</v>
      </c>
      <c r="F31" s="4" t="s">
        <v>34</v>
      </c>
      <c r="G31" s="4" t="s">
        <v>35</v>
      </c>
      <c r="H31" s="4" t="s">
        <v>76</v>
      </c>
      <c r="I31" s="4" t="s">
        <v>121</v>
      </c>
      <c r="J31" s="4" t="s">
        <v>122</v>
      </c>
      <c r="K31" s="4" t="s">
        <v>39</v>
      </c>
      <c r="L31" s="4" t="s">
        <v>123</v>
      </c>
    </row>
    <row r="32" spans="1:12" ht="36" customHeight="1">
      <c r="A32" s="4" t="s">
        <v>124</v>
      </c>
      <c r="B32" s="4" t="s">
        <v>75</v>
      </c>
      <c r="C32" s="4" t="s">
        <v>50</v>
      </c>
      <c r="D32" s="4" t="s">
        <v>26</v>
      </c>
      <c r="E32" s="4" t="s">
        <v>16</v>
      </c>
      <c r="F32" s="4" t="s">
        <v>34</v>
      </c>
      <c r="G32" s="4" t="s">
        <v>35</v>
      </c>
      <c r="H32" s="4" t="s">
        <v>76</v>
      </c>
      <c r="I32" s="4" t="s">
        <v>125</v>
      </c>
      <c r="J32" s="4" t="s">
        <v>126</v>
      </c>
      <c r="K32" s="4" t="s">
        <v>39</v>
      </c>
      <c r="L32" s="4" t="s">
        <v>127</v>
      </c>
    </row>
    <row r="33" spans="1:12" ht="36" customHeight="1">
      <c r="A33" s="4" t="s">
        <v>128</v>
      </c>
      <c r="B33" s="4" t="s">
        <v>75</v>
      </c>
      <c r="C33" s="4" t="s">
        <v>50</v>
      </c>
      <c r="D33" s="4" t="s">
        <v>26</v>
      </c>
      <c r="E33" s="4" t="s">
        <v>20</v>
      </c>
      <c r="F33" s="4" t="s">
        <v>34</v>
      </c>
      <c r="G33" s="4" t="s">
        <v>35</v>
      </c>
      <c r="H33" s="4" t="s">
        <v>76</v>
      </c>
      <c r="I33" s="4" t="s">
        <v>129</v>
      </c>
      <c r="J33" s="4" t="s">
        <v>130</v>
      </c>
      <c r="K33" s="4" t="s">
        <v>39</v>
      </c>
      <c r="L33" s="4" t="s">
        <v>131</v>
      </c>
    </row>
    <row r="34" spans="1:12" ht="36" customHeight="1">
      <c r="A34" s="4" t="s">
        <v>132</v>
      </c>
      <c r="B34" s="4" t="s">
        <v>75</v>
      </c>
      <c r="C34" s="4" t="s">
        <v>50</v>
      </c>
      <c r="D34" s="4" t="s">
        <v>26</v>
      </c>
      <c r="E34" s="4" t="s">
        <v>23</v>
      </c>
      <c r="F34" s="4" t="s">
        <v>34</v>
      </c>
      <c r="G34" s="4" t="s">
        <v>35</v>
      </c>
      <c r="H34" s="4" t="s">
        <v>76</v>
      </c>
      <c r="I34" s="4" t="s">
        <v>133</v>
      </c>
      <c r="J34" s="4" t="s">
        <v>134</v>
      </c>
      <c r="K34" s="4" t="s">
        <v>39</v>
      </c>
      <c r="L34" s="4" t="s">
        <v>135</v>
      </c>
    </row>
    <row r="35" spans="1:12" ht="36" customHeight="1">
      <c r="A35" s="4" t="s">
        <v>136</v>
      </c>
      <c r="B35" s="4" t="s">
        <v>75</v>
      </c>
      <c r="C35" s="4" t="s">
        <v>50</v>
      </c>
      <c r="D35" s="4" t="s">
        <v>33</v>
      </c>
      <c r="E35" s="4" t="s">
        <v>16</v>
      </c>
      <c r="F35" s="4" t="s">
        <v>34</v>
      </c>
      <c r="G35" s="4" t="s">
        <v>35</v>
      </c>
      <c r="H35" s="4" t="s">
        <v>76</v>
      </c>
      <c r="I35" s="4" t="s">
        <v>137</v>
      </c>
      <c r="J35" s="4" t="s">
        <v>138</v>
      </c>
      <c r="K35" s="4" t="s">
        <v>39</v>
      </c>
      <c r="L35" s="4" t="s">
        <v>139</v>
      </c>
    </row>
    <row r="36" spans="1:12" ht="36" customHeight="1">
      <c r="A36" s="4" t="s">
        <v>140</v>
      </c>
      <c r="B36" s="4" t="s">
        <v>75</v>
      </c>
      <c r="C36" s="4" t="s">
        <v>50</v>
      </c>
      <c r="D36" s="4" t="s">
        <v>33</v>
      </c>
      <c r="E36" s="4" t="s">
        <v>20</v>
      </c>
      <c r="F36" s="4" t="s">
        <v>34</v>
      </c>
      <c r="G36" s="4" t="s">
        <v>35</v>
      </c>
      <c r="H36" s="4" t="s">
        <v>76</v>
      </c>
      <c r="I36" s="4" t="s">
        <v>141</v>
      </c>
      <c r="J36" s="4" t="s">
        <v>142</v>
      </c>
      <c r="K36" s="4" t="s">
        <v>39</v>
      </c>
      <c r="L36" s="4" t="s">
        <v>143</v>
      </c>
    </row>
    <row r="37" spans="1:12" ht="36" customHeight="1">
      <c r="A37" s="4" t="s">
        <v>144</v>
      </c>
      <c r="B37" s="4" t="s">
        <v>75</v>
      </c>
      <c r="C37" s="4" t="s">
        <v>50</v>
      </c>
      <c r="D37" s="4" t="s">
        <v>33</v>
      </c>
      <c r="E37" s="4" t="s">
        <v>23</v>
      </c>
      <c r="F37" s="4" t="s">
        <v>34</v>
      </c>
      <c r="G37" s="4" t="s">
        <v>35</v>
      </c>
      <c r="H37" s="4" t="s">
        <v>76</v>
      </c>
      <c r="I37" s="4" t="s">
        <v>145</v>
      </c>
      <c r="J37" s="4" t="s">
        <v>146</v>
      </c>
      <c r="K37" s="4" t="s">
        <v>39</v>
      </c>
      <c r="L37" s="4" t="s">
        <v>147</v>
      </c>
    </row>
    <row r="38" spans="1:12" ht="36" customHeight="1">
      <c r="A38" s="4" t="s">
        <v>148</v>
      </c>
      <c r="B38" s="4" t="s">
        <v>149</v>
      </c>
      <c r="C38" s="4" t="s">
        <v>14</v>
      </c>
      <c r="D38" s="4" t="s">
        <v>15</v>
      </c>
      <c r="E38" s="4" t="s">
        <v>16</v>
      </c>
      <c r="F38" s="4" t="s">
        <v>17</v>
      </c>
      <c r="G38" s="4"/>
      <c r="H38" s="4"/>
      <c r="I38" s="4"/>
      <c r="J38" s="4"/>
      <c r="K38" s="4"/>
      <c r="L38" s="4" t="s">
        <v>150</v>
      </c>
    </row>
    <row r="39" spans="1:12" ht="36" customHeight="1">
      <c r="A39" s="4" t="s">
        <v>151</v>
      </c>
      <c r="B39" s="4" t="s">
        <v>149</v>
      </c>
      <c r="C39" s="4" t="s">
        <v>14</v>
      </c>
      <c r="D39" s="4" t="s">
        <v>15</v>
      </c>
      <c r="E39" s="4" t="s">
        <v>20</v>
      </c>
      <c r="F39" s="4" t="s">
        <v>17</v>
      </c>
      <c r="G39" s="4"/>
      <c r="H39" s="4"/>
      <c r="I39" s="4"/>
      <c r="J39" s="4"/>
      <c r="K39" s="4"/>
      <c r="L39" s="4" t="s">
        <v>152</v>
      </c>
    </row>
    <row r="40" spans="1:12" ht="36" customHeight="1">
      <c r="A40" s="4" t="s">
        <v>153</v>
      </c>
      <c r="B40" s="4" t="s">
        <v>149</v>
      </c>
      <c r="C40" s="4" t="s">
        <v>14</v>
      </c>
      <c r="D40" s="4" t="s">
        <v>15</v>
      </c>
      <c r="E40" s="4" t="s">
        <v>23</v>
      </c>
      <c r="F40" s="4" t="s">
        <v>17</v>
      </c>
      <c r="G40" s="4"/>
      <c r="H40" s="4"/>
      <c r="I40" s="4"/>
      <c r="J40" s="4"/>
      <c r="K40" s="4"/>
      <c r="L40" s="4" t="s">
        <v>154</v>
      </c>
    </row>
    <row r="41" spans="1:12" ht="36" customHeight="1">
      <c r="A41" s="4" t="s">
        <v>155</v>
      </c>
      <c r="B41" s="4" t="s">
        <v>149</v>
      </c>
      <c r="C41" s="4" t="s">
        <v>14</v>
      </c>
      <c r="D41" s="4" t="s">
        <v>26</v>
      </c>
      <c r="E41" s="4" t="s">
        <v>16</v>
      </c>
      <c r="F41" s="4" t="s">
        <v>17</v>
      </c>
      <c r="G41" s="4"/>
      <c r="H41" s="4"/>
      <c r="I41" s="4"/>
      <c r="J41" s="4"/>
      <c r="K41" s="4"/>
      <c r="L41" s="4" t="s">
        <v>156</v>
      </c>
    </row>
    <row r="42" spans="1:12" ht="36" customHeight="1">
      <c r="A42" s="4" t="s">
        <v>157</v>
      </c>
      <c r="B42" s="4" t="s">
        <v>149</v>
      </c>
      <c r="C42" s="4" t="s">
        <v>14</v>
      </c>
      <c r="D42" s="4" t="s">
        <v>26</v>
      </c>
      <c r="E42" s="4" t="s">
        <v>20</v>
      </c>
      <c r="F42" s="4" t="s">
        <v>17</v>
      </c>
      <c r="G42" s="4"/>
      <c r="H42" s="4"/>
      <c r="I42" s="4"/>
      <c r="J42" s="4"/>
      <c r="K42" s="4"/>
      <c r="L42" s="4" t="s">
        <v>158</v>
      </c>
    </row>
    <row r="43" spans="1:12" ht="36" customHeight="1">
      <c r="A43" s="4" t="s">
        <v>159</v>
      </c>
      <c r="B43" s="4" t="s">
        <v>149</v>
      </c>
      <c r="C43" s="4" t="s">
        <v>14</v>
      </c>
      <c r="D43" s="4" t="s">
        <v>26</v>
      </c>
      <c r="E43" s="4" t="s">
        <v>23</v>
      </c>
      <c r="F43" s="4" t="s">
        <v>17</v>
      </c>
      <c r="G43" s="4"/>
      <c r="H43" s="4"/>
      <c r="I43" s="4"/>
      <c r="J43" s="4"/>
      <c r="K43" s="4"/>
      <c r="L43" s="4" t="s">
        <v>160</v>
      </c>
    </row>
    <row r="44" spans="1:12" ht="36" customHeight="1">
      <c r="A44" s="4" t="s">
        <v>161</v>
      </c>
      <c r="B44" s="4" t="s">
        <v>149</v>
      </c>
      <c r="C44" s="4" t="s">
        <v>14</v>
      </c>
      <c r="D44" s="4" t="s">
        <v>33</v>
      </c>
      <c r="E44" s="4" t="s">
        <v>16</v>
      </c>
      <c r="F44" s="4" t="s">
        <v>17</v>
      </c>
      <c r="G44" s="4"/>
      <c r="H44" s="4"/>
      <c r="I44" s="4"/>
      <c r="J44" s="4"/>
      <c r="K44" s="4"/>
      <c r="L44" s="4" t="s">
        <v>162</v>
      </c>
    </row>
    <row r="45" spans="1:12" ht="36" customHeight="1">
      <c r="A45" s="4" t="s">
        <v>163</v>
      </c>
      <c r="B45" s="4" t="s">
        <v>149</v>
      </c>
      <c r="C45" s="4" t="s">
        <v>14</v>
      </c>
      <c r="D45" s="4" t="s">
        <v>33</v>
      </c>
      <c r="E45" s="4" t="s">
        <v>20</v>
      </c>
      <c r="F45" s="4" t="s">
        <v>17</v>
      </c>
      <c r="G45" s="4"/>
      <c r="H45" s="4"/>
      <c r="I45" s="4"/>
      <c r="J45" s="4"/>
      <c r="K45" s="4"/>
      <c r="L45" s="4" t="s">
        <v>164</v>
      </c>
    </row>
    <row r="46" spans="1:12" ht="36" customHeight="1">
      <c r="A46" s="4" t="s">
        <v>165</v>
      </c>
      <c r="B46" s="4" t="s">
        <v>149</v>
      </c>
      <c r="C46" s="4" t="s">
        <v>14</v>
      </c>
      <c r="D46" s="4" t="s">
        <v>33</v>
      </c>
      <c r="E46" s="4" t="s">
        <v>23</v>
      </c>
      <c r="F46" s="4" t="s">
        <v>17</v>
      </c>
      <c r="G46" s="4"/>
      <c r="H46" s="4"/>
      <c r="I46" s="4"/>
      <c r="J46" s="4"/>
      <c r="K46" s="4"/>
      <c r="L46" s="4" t="s">
        <v>166</v>
      </c>
    </row>
    <row r="47" spans="1:12" ht="36" customHeight="1">
      <c r="A47" s="4" t="s">
        <v>167</v>
      </c>
      <c r="B47" s="4" t="s">
        <v>149</v>
      </c>
      <c r="C47" s="4" t="s">
        <v>50</v>
      </c>
      <c r="D47" s="4" t="s">
        <v>15</v>
      </c>
      <c r="E47" s="4" t="s">
        <v>16</v>
      </c>
      <c r="F47" s="4" t="s">
        <v>17</v>
      </c>
      <c r="G47" s="4"/>
      <c r="H47" s="4"/>
      <c r="I47" s="4"/>
      <c r="J47" s="4"/>
      <c r="K47" s="4"/>
      <c r="L47" s="4" t="s">
        <v>168</v>
      </c>
    </row>
    <row r="48" spans="1:12" ht="36" customHeight="1">
      <c r="A48" s="4" t="s">
        <v>169</v>
      </c>
      <c r="B48" s="4" t="s">
        <v>149</v>
      </c>
      <c r="C48" s="4" t="s">
        <v>50</v>
      </c>
      <c r="D48" s="4" t="s">
        <v>15</v>
      </c>
      <c r="E48" s="4" t="s">
        <v>20</v>
      </c>
      <c r="F48" s="4" t="s">
        <v>17</v>
      </c>
      <c r="G48" s="4"/>
      <c r="H48" s="4"/>
      <c r="I48" s="4"/>
      <c r="J48" s="4"/>
      <c r="K48" s="4"/>
      <c r="L48" s="4" t="s">
        <v>170</v>
      </c>
    </row>
    <row r="49" spans="1:12" ht="36" customHeight="1">
      <c r="A49" s="4" t="s">
        <v>171</v>
      </c>
      <c r="B49" s="4" t="s">
        <v>149</v>
      </c>
      <c r="C49" s="4" t="s">
        <v>50</v>
      </c>
      <c r="D49" s="4" t="s">
        <v>15</v>
      </c>
      <c r="E49" s="4" t="s">
        <v>23</v>
      </c>
      <c r="F49" s="4" t="s">
        <v>17</v>
      </c>
      <c r="G49" s="4"/>
      <c r="H49" s="4"/>
      <c r="I49" s="4"/>
      <c r="J49" s="4"/>
      <c r="K49" s="4"/>
      <c r="L49" s="4" t="s">
        <v>172</v>
      </c>
    </row>
    <row r="50" spans="1:12" ht="36" customHeight="1">
      <c r="A50" s="4" t="s">
        <v>173</v>
      </c>
      <c r="B50" s="4" t="s">
        <v>149</v>
      </c>
      <c r="C50" s="4" t="s">
        <v>50</v>
      </c>
      <c r="D50" s="4" t="s">
        <v>26</v>
      </c>
      <c r="E50" s="4" t="s">
        <v>16</v>
      </c>
      <c r="F50" s="4" t="s">
        <v>17</v>
      </c>
      <c r="G50" s="4"/>
      <c r="H50" s="4"/>
      <c r="I50" s="4"/>
      <c r="J50" s="4"/>
      <c r="K50" s="4"/>
      <c r="L50" s="4" t="s">
        <v>174</v>
      </c>
    </row>
    <row r="51" spans="1:12" ht="36" customHeight="1">
      <c r="A51" s="4" t="s">
        <v>175</v>
      </c>
      <c r="B51" s="4" t="s">
        <v>149</v>
      </c>
      <c r="C51" s="4" t="s">
        <v>50</v>
      </c>
      <c r="D51" s="4" t="s">
        <v>26</v>
      </c>
      <c r="E51" s="4" t="s">
        <v>20</v>
      </c>
      <c r="F51" s="4" t="s">
        <v>17</v>
      </c>
      <c r="G51" s="4"/>
      <c r="H51" s="4"/>
      <c r="I51" s="4"/>
      <c r="J51" s="4"/>
      <c r="K51" s="4"/>
      <c r="L51" s="4" t="s">
        <v>176</v>
      </c>
    </row>
    <row r="52" spans="1:12" ht="36" customHeight="1">
      <c r="A52" s="4" t="s">
        <v>177</v>
      </c>
      <c r="B52" s="4" t="s">
        <v>149</v>
      </c>
      <c r="C52" s="4" t="s">
        <v>50</v>
      </c>
      <c r="D52" s="4" t="s">
        <v>26</v>
      </c>
      <c r="E52" s="4" t="s">
        <v>23</v>
      </c>
      <c r="F52" s="4" t="s">
        <v>17</v>
      </c>
      <c r="G52" s="4"/>
      <c r="H52" s="4"/>
      <c r="I52" s="4"/>
      <c r="J52" s="4"/>
      <c r="K52" s="4"/>
      <c r="L52" s="4" t="s">
        <v>178</v>
      </c>
    </row>
    <row r="53" spans="1:12" ht="36" customHeight="1">
      <c r="A53" s="4" t="s">
        <v>179</v>
      </c>
      <c r="B53" s="4" t="s">
        <v>149</v>
      </c>
      <c r="C53" s="4" t="s">
        <v>50</v>
      </c>
      <c r="D53" s="4" t="s">
        <v>33</v>
      </c>
      <c r="E53" s="4" t="s">
        <v>16</v>
      </c>
      <c r="F53" s="4" t="s">
        <v>17</v>
      </c>
      <c r="G53" s="4"/>
      <c r="H53" s="4"/>
      <c r="I53" s="4"/>
      <c r="J53" s="4"/>
      <c r="K53" s="4"/>
      <c r="L53" s="4" t="s">
        <v>180</v>
      </c>
    </row>
    <row r="54" spans="1:12" ht="36" customHeight="1">
      <c r="A54" s="4" t="s">
        <v>181</v>
      </c>
      <c r="B54" s="4" t="s">
        <v>149</v>
      </c>
      <c r="C54" s="4" t="s">
        <v>50</v>
      </c>
      <c r="D54" s="4" t="s">
        <v>33</v>
      </c>
      <c r="E54" s="4" t="s">
        <v>20</v>
      </c>
      <c r="F54" s="4" t="s">
        <v>17</v>
      </c>
      <c r="G54" s="4"/>
      <c r="H54" s="4"/>
      <c r="I54" s="4"/>
      <c r="J54" s="4"/>
      <c r="K54" s="4"/>
      <c r="L54" s="4" t="s">
        <v>182</v>
      </c>
    </row>
    <row r="55" spans="1:12" ht="36" customHeight="1">
      <c r="A55" s="4" t="s">
        <v>183</v>
      </c>
      <c r="B55" s="4" t="s">
        <v>149</v>
      </c>
      <c r="C55" s="4" t="s">
        <v>50</v>
      </c>
      <c r="D55" s="4" t="s">
        <v>33</v>
      </c>
      <c r="E55" s="4" t="s">
        <v>23</v>
      </c>
      <c r="F55" s="4" t="s">
        <v>17</v>
      </c>
      <c r="G55" s="4"/>
      <c r="H55" s="4"/>
      <c r="I55" s="4"/>
      <c r="J55" s="4"/>
      <c r="K55" s="4"/>
      <c r="L55" s="4" t="s">
        <v>184</v>
      </c>
    </row>
    <row r="56" spans="1:12" ht="36" customHeight="1">
      <c r="A56" s="4" t="s">
        <v>185</v>
      </c>
      <c r="B56" s="4" t="s">
        <v>186</v>
      </c>
      <c r="C56" s="4" t="s">
        <v>14</v>
      </c>
      <c r="D56" s="4" t="s">
        <v>15</v>
      </c>
      <c r="E56" s="4" t="s">
        <v>16</v>
      </c>
      <c r="F56" s="4" t="s">
        <v>17</v>
      </c>
      <c r="G56" s="4"/>
      <c r="H56" s="4"/>
      <c r="I56" s="4"/>
      <c r="J56" s="4"/>
      <c r="K56" s="4"/>
      <c r="L56" s="4" t="s">
        <v>187</v>
      </c>
    </row>
    <row r="57" spans="1:12" ht="36" customHeight="1">
      <c r="A57" s="4" t="s">
        <v>188</v>
      </c>
      <c r="B57" s="4" t="s">
        <v>186</v>
      </c>
      <c r="C57" s="4" t="s">
        <v>14</v>
      </c>
      <c r="D57" s="4" t="s">
        <v>15</v>
      </c>
      <c r="E57" s="4" t="s">
        <v>20</v>
      </c>
      <c r="F57" s="4" t="s">
        <v>17</v>
      </c>
      <c r="G57" s="4"/>
      <c r="H57" s="4"/>
      <c r="I57" s="4"/>
      <c r="J57" s="4"/>
      <c r="K57" s="4"/>
      <c r="L57" s="4" t="s">
        <v>189</v>
      </c>
    </row>
    <row r="58" spans="1:12" ht="36" customHeight="1">
      <c r="A58" s="4" t="s">
        <v>190</v>
      </c>
      <c r="B58" s="4" t="s">
        <v>186</v>
      </c>
      <c r="C58" s="4" t="s">
        <v>14</v>
      </c>
      <c r="D58" s="4" t="s">
        <v>15</v>
      </c>
      <c r="E58" s="4" t="s">
        <v>23</v>
      </c>
      <c r="F58" s="4" t="s">
        <v>17</v>
      </c>
      <c r="G58" s="4"/>
      <c r="H58" s="4"/>
      <c r="I58" s="4"/>
      <c r="J58" s="4"/>
      <c r="K58" s="4"/>
      <c r="L58" s="4" t="s">
        <v>191</v>
      </c>
    </row>
    <row r="59" spans="1:12" ht="36" customHeight="1">
      <c r="A59" s="4" t="s">
        <v>192</v>
      </c>
      <c r="B59" s="4" t="s">
        <v>186</v>
      </c>
      <c r="C59" s="4" t="s">
        <v>14</v>
      </c>
      <c r="D59" s="4" t="s">
        <v>26</v>
      </c>
      <c r="E59" s="4" t="s">
        <v>16</v>
      </c>
      <c r="F59" s="4" t="s">
        <v>17</v>
      </c>
      <c r="G59" s="4"/>
      <c r="H59" s="4"/>
      <c r="I59" s="4"/>
      <c r="J59" s="4"/>
      <c r="K59" s="4"/>
      <c r="L59" s="4" t="s">
        <v>193</v>
      </c>
    </row>
    <row r="60" spans="1:12" ht="36" customHeight="1">
      <c r="A60" s="4" t="s">
        <v>194</v>
      </c>
      <c r="B60" s="4" t="s">
        <v>186</v>
      </c>
      <c r="C60" s="4" t="s">
        <v>14</v>
      </c>
      <c r="D60" s="4" t="s">
        <v>26</v>
      </c>
      <c r="E60" s="4" t="s">
        <v>20</v>
      </c>
      <c r="F60" s="4" t="s">
        <v>17</v>
      </c>
      <c r="G60" s="4"/>
      <c r="H60" s="4"/>
      <c r="I60" s="4"/>
      <c r="J60" s="4"/>
      <c r="K60" s="4"/>
      <c r="L60" s="4" t="s">
        <v>195</v>
      </c>
    </row>
    <row r="61" spans="1:12" ht="36" customHeight="1">
      <c r="A61" s="4" t="s">
        <v>196</v>
      </c>
      <c r="B61" s="4" t="s">
        <v>186</v>
      </c>
      <c r="C61" s="4" t="s">
        <v>14</v>
      </c>
      <c r="D61" s="4" t="s">
        <v>26</v>
      </c>
      <c r="E61" s="4" t="s">
        <v>23</v>
      </c>
      <c r="F61" s="4" t="s">
        <v>17</v>
      </c>
      <c r="G61" s="4"/>
      <c r="H61" s="4"/>
      <c r="I61" s="4"/>
      <c r="J61" s="4"/>
      <c r="K61" s="4"/>
      <c r="L61" s="4" t="s">
        <v>197</v>
      </c>
    </row>
    <row r="62" spans="1:12" ht="36" customHeight="1">
      <c r="A62" s="4" t="s">
        <v>198</v>
      </c>
      <c r="B62" s="4" t="s">
        <v>186</v>
      </c>
      <c r="C62" s="4" t="s">
        <v>14</v>
      </c>
      <c r="D62" s="4" t="s">
        <v>33</v>
      </c>
      <c r="E62" s="4" t="s">
        <v>16</v>
      </c>
      <c r="F62" s="4" t="s">
        <v>17</v>
      </c>
      <c r="G62" s="4"/>
      <c r="H62" s="4"/>
      <c r="I62" s="4"/>
      <c r="J62" s="4"/>
      <c r="K62" s="4"/>
      <c r="L62" s="4" t="s">
        <v>199</v>
      </c>
    </row>
    <row r="63" spans="1:12" ht="36" customHeight="1">
      <c r="A63" s="4" t="s">
        <v>200</v>
      </c>
      <c r="B63" s="4" t="s">
        <v>186</v>
      </c>
      <c r="C63" s="4" t="s">
        <v>14</v>
      </c>
      <c r="D63" s="4" t="s">
        <v>33</v>
      </c>
      <c r="E63" s="4" t="s">
        <v>20</v>
      </c>
      <c r="F63" s="4" t="s">
        <v>17</v>
      </c>
      <c r="G63" s="4"/>
      <c r="H63" s="4"/>
      <c r="I63" s="4"/>
      <c r="J63" s="4"/>
      <c r="K63" s="4"/>
      <c r="L63" s="4" t="s">
        <v>201</v>
      </c>
    </row>
    <row r="64" spans="1:12" ht="36" customHeight="1">
      <c r="A64" s="4" t="s">
        <v>202</v>
      </c>
      <c r="B64" s="4" t="s">
        <v>186</v>
      </c>
      <c r="C64" s="4" t="s">
        <v>14</v>
      </c>
      <c r="D64" s="4" t="s">
        <v>33</v>
      </c>
      <c r="E64" s="4" t="s">
        <v>23</v>
      </c>
      <c r="F64" s="4" t="s">
        <v>17</v>
      </c>
      <c r="G64" s="4"/>
      <c r="H64" s="4"/>
      <c r="I64" s="4"/>
      <c r="J64" s="4"/>
      <c r="K64" s="4"/>
      <c r="L64" s="4" t="s">
        <v>203</v>
      </c>
    </row>
    <row r="65" spans="1:12" ht="36" customHeight="1">
      <c r="A65" s="4" t="s">
        <v>204</v>
      </c>
      <c r="B65" s="4" t="s">
        <v>186</v>
      </c>
      <c r="C65" s="4" t="s">
        <v>50</v>
      </c>
      <c r="D65" s="4" t="s">
        <v>15</v>
      </c>
      <c r="E65" s="4" t="s">
        <v>16</v>
      </c>
      <c r="F65" s="4" t="s">
        <v>17</v>
      </c>
      <c r="G65" s="4"/>
      <c r="H65" s="4"/>
      <c r="I65" s="4"/>
      <c r="J65" s="4"/>
      <c r="K65" s="4"/>
      <c r="L65" s="4" t="s">
        <v>205</v>
      </c>
    </row>
    <row r="66" spans="1:12" ht="36" customHeight="1">
      <c r="A66" s="4" t="s">
        <v>206</v>
      </c>
      <c r="B66" s="4" t="s">
        <v>186</v>
      </c>
      <c r="C66" s="4" t="s">
        <v>50</v>
      </c>
      <c r="D66" s="4" t="s">
        <v>15</v>
      </c>
      <c r="E66" s="4" t="s">
        <v>20</v>
      </c>
      <c r="F66" s="4" t="s">
        <v>17</v>
      </c>
      <c r="G66" s="4"/>
      <c r="H66" s="4"/>
      <c r="I66" s="4"/>
      <c r="J66" s="4"/>
      <c r="K66" s="4"/>
      <c r="L66" s="4" t="s">
        <v>207</v>
      </c>
    </row>
    <row r="67" spans="1:12" ht="36" customHeight="1">
      <c r="A67" s="4" t="s">
        <v>208</v>
      </c>
      <c r="B67" s="4" t="s">
        <v>186</v>
      </c>
      <c r="C67" s="4" t="s">
        <v>50</v>
      </c>
      <c r="D67" s="4" t="s">
        <v>15</v>
      </c>
      <c r="E67" s="4" t="s">
        <v>23</v>
      </c>
      <c r="F67" s="4" t="s">
        <v>17</v>
      </c>
      <c r="G67" s="4"/>
      <c r="H67" s="4"/>
      <c r="I67" s="4"/>
      <c r="J67" s="4"/>
      <c r="K67" s="4"/>
      <c r="L67" s="4" t="s">
        <v>209</v>
      </c>
    </row>
    <row r="68" spans="1:12" ht="36" customHeight="1">
      <c r="A68" s="4" t="s">
        <v>210</v>
      </c>
      <c r="B68" s="4" t="s">
        <v>186</v>
      </c>
      <c r="C68" s="4" t="s">
        <v>50</v>
      </c>
      <c r="D68" s="4" t="s">
        <v>26</v>
      </c>
      <c r="E68" s="4" t="s">
        <v>16</v>
      </c>
      <c r="F68" s="4" t="s">
        <v>17</v>
      </c>
      <c r="G68" s="4"/>
      <c r="H68" s="4"/>
      <c r="I68" s="4"/>
      <c r="J68" s="4"/>
      <c r="K68" s="4"/>
      <c r="L68" s="4" t="s">
        <v>211</v>
      </c>
    </row>
    <row r="69" spans="1:12" ht="36" customHeight="1">
      <c r="A69" s="4" t="s">
        <v>212</v>
      </c>
      <c r="B69" s="4" t="s">
        <v>186</v>
      </c>
      <c r="C69" s="4" t="s">
        <v>50</v>
      </c>
      <c r="D69" s="4" t="s">
        <v>26</v>
      </c>
      <c r="E69" s="4" t="s">
        <v>20</v>
      </c>
      <c r="F69" s="4" t="s">
        <v>17</v>
      </c>
      <c r="G69" s="4"/>
      <c r="H69" s="4"/>
      <c r="I69" s="4"/>
      <c r="J69" s="4"/>
      <c r="K69" s="4"/>
      <c r="L69" s="4" t="s">
        <v>213</v>
      </c>
    </row>
    <row r="70" spans="1:12" ht="36" customHeight="1">
      <c r="A70" s="4" t="s">
        <v>214</v>
      </c>
      <c r="B70" s="4" t="s">
        <v>186</v>
      </c>
      <c r="C70" s="4" t="s">
        <v>50</v>
      </c>
      <c r="D70" s="4" t="s">
        <v>26</v>
      </c>
      <c r="E70" s="4" t="s">
        <v>23</v>
      </c>
      <c r="F70" s="4" t="s">
        <v>17</v>
      </c>
      <c r="G70" s="4"/>
      <c r="H70" s="4"/>
      <c r="I70" s="4"/>
      <c r="J70" s="4"/>
      <c r="K70" s="4"/>
      <c r="L70" s="4" t="s">
        <v>215</v>
      </c>
    </row>
    <row r="71" spans="1:12" ht="36" customHeight="1">
      <c r="A71" s="4" t="s">
        <v>216</v>
      </c>
      <c r="B71" s="4" t="s">
        <v>186</v>
      </c>
      <c r="C71" s="4" t="s">
        <v>50</v>
      </c>
      <c r="D71" s="4" t="s">
        <v>33</v>
      </c>
      <c r="E71" s="4" t="s">
        <v>16</v>
      </c>
      <c r="F71" s="4" t="s">
        <v>17</v>
      </c>
      <c r="G71" s="4"/>
      <c r="H71" s="4"/>
      <c r="I71" s="4"/>
      <c r="J71" s="4"/>
      <c r="K71" s="4"/>
      <c r="L71" s="4" t="s">
        <v>217</v>
      </c>
    </row>
    <row r="72" spans="1:12" ht="36" customHeight="1">
      <c r="A72" s="4" t="s">
        <v>218</v>
      </c>
      <c r="B72" s="4" t="s">
        <v>186</v>
      </c>
      <c r="C72" s="4" t="s">
        <v>50</v>
      </c>
      <c r="D72" s="4" t="s">
        <v>33</v>
      </c>
      <c r="E72" s="4" t="s">
        <v>20</v>
      </c>
      <c r="F72" s="4" t="s">
        <v>17</v>
      </c>
      <c r="G72" s="4"/>
      <c r="H72" s="4"/>
      <c r="I72" s="4"/>
      <c r="J72" s="4"/>
      <c r="K72" s="4"/>
      <c r="L72" s="4" t="s">
        <v>219</v>
      </c>
    </row>
    <row r="73" spans="1:12" ht="36" customHeight="1">
      <c r="A73" s="4" t="s">
        <v>220</v>
      </c>
      <c r="B73" s="4" t="s">
        <v>186</v>
      </c>
      <c r="C73" s="4" t="s">
        <v>50</v>
      </c>
      <c r="D73" s="4" t="s">
        <v>33</v>
      </c>
      <c r="E73" s="4" t="s">
        <v>23</v>
      </c>
      <c r="F73" s="4" t="s">
        <v>17</v>
      </c>
      <c r="G73" s="4"/>
      <c r="H73" s="4"/>
      <c r="I73" s="4"/>
      <c r="J73" s="4"/>
      <c r="K73" s="4"/>
      <c r="L73" s="4" t="s">
        <v>221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3"/>
  <sheetViews>
    <sheetView topLeftCell="A29" workbookViewId="0">
      <selection activeCell="F37" sqref="F37"/>
    </sheetView>
  </sheetViews>
  <sheetFormatPr baseColWidth="10" defaultColWidth="9" defaultRowHeight="14.25"/>
  <cols>
    <col min="1" max="1" width="20" customWidth="1"/>
    <col min="2" max="2" width="15" customWidth="1"/>
    <col min="3" max="3" width="13" customWidth="1"/>
    <col min="4" max="4" width="14" customWidth="1"/>
    <col min="5" max="5" width="12" customWidth="1"/>
    <col min="6" max="6" width="48" customWidth="1"/>
    <col min="7" max="7" width="43" customWidth="1"/>
    <col min="8" max="8" width="54" customWidth="1"/>
    <col min="9" max="12" width="25" customWidth="1"/>
    <col min="13" max="18" width="9" customWidth="1"/>
    <col min="19" max="19" width="92" customWidth="1"/>
  </cols>
  <sheetData>
    <row r="1" spans="1:19" ht="30">
      <c r="A1" s="3" t="s">
        <v>222</v>
      </c>
      <c r="B1" s="3" t="s">
        <v>1</v>
      </c>
      <c r="C1" s="3" t="s">
        <v>2</v>
      </c>
      <c r="D1" s="3" t="s">
        <v>3</v>
      </c>
      <c r="E1" s="3" t="s">
        <v>4</v>
      </c>
      <c r="F1" s="3" t="s">
        <v>223</v>
      </c>
      <c r="G1" s="3" t="s">
        <v>6</v>
      </c>
      <c r="H1" s="3" t="s">
        <v>7</v>
      </c>
      <c r="I1" s="3" t="s">
        <v>224</v>
      </c>
      <c r="J1" s="3" t="s">
        <v>225</v>
      </c>
      <c r="K1" s="3" t="s">
        <v>226</v>
      </c>
      <c r="L1" s="3" t="s">
        <v>227</v>
      </c>
      <c r="M1" s="3" t="s">
        <v>228</v>
      </c>
      <c r="N1" s="3" t="s">
        <v>229</v>
      </c>
      <c r="O1" s="3" t="s">
        <v>230</v>
      </c>
      <c r="P1" s="3" t="s">
        <v>231</v>
      </c>
      <c r="Q1" s="3" t="s">
        <v>232</v>
      </c>
      <c r="R1" s="3" t="s">
        <v>233</v>
      </c>
      <c r="S1" s="3" t="s">
        <v>234</v>
      </c>
    </row>
    <row r="2" spans="1:19" ht="54" customHeight="1">
      <c r="A2" s="4" t="s">
        <v>12</v>
      </c>
      <c r="B2" s="4" t="s">
        <v>235</v>
      </c>
      <c r="C2" s="4" t="s">
        <v>14</v>
      </c>
      <c r="D2" s="4" t="s">
        <v>15</v>
      </c>
      <c r="E2" s="4" t="s">
        <v>16</v>
      </c>
      <c r="F2" s="4" t="s">
        <v>17</v>
      </c>
      <c r="G2" s="4"/>
      <c r="H2" s="4"/>
      <c r="I2" s="7"/>
      <c r="J2" s="7"/>
      <c r="K2" s="7">
        <v>46255.436905439812</v>
      </c>
      <c r="L2" s="7">
        <v>46255.43692083333</v>
      </c>
      <c r="M2" s="5">
        <f t="shared" ref="M2:M33" si="0">IF(F2="BAM-Treffer im Execution-Zeitraum",1,0)</f>
        <v>0</v>
      </c>
      <c r="N2" s="5" t="str">
        <f t="shared" ref="N2:N33" si="1">IF(M2=1,2,"-")</f>
        <v>-</v>
      </c>
      <c r="O2" s="5" t="str">
        <f t="shared" ref="O2:O33" si="2">IF(M2=1,2,"-")</f>
        <v>-</v>
      </c>
      <c r="P2" s="5" t="str">
        <f t="shared" ref="P2:P33" si="3">IF(M2=1,1,"-")</f>
        <v>-</v>
      </c>
      <c r="Q2" s="5" t="str">
        <f t="shared" ref="Q2:Q33" si="4">IF(M2=1,0,"-")</f>
        <v>-</v>
      </c>
      <c r="R2" s="5" t="str">
        <f t="shared" ref="R2:R33" si="5">IF(M2=1,0,"-")</f>
        <v>-</v>
      </c>
      <c r="S2" s="4" t="str">
        <f t="shared" ref="S2:S33" si="6">IF(M2=1,"Run-spezifischer BAM-Befund: Executable-Pfad und ExecutionTime ordnen die Zielkomponente direkt dem Lauf zu; Benutzerkontext liegt über die SID vor. Kommandozeile, Parent-Prozess und konkrete A1/A2-Handlung werden nicht dokumentiert.",IF(F2="Kein passender BAM-Eintrag","Kein passender BAM-Eintrag der untersuchten Komponente; daher kein run-spezifischer BAM-Nachweis.",IF(F2="BAM-Eintrag vorhanden, Ausführungszeit nicht im Execution-Zeitraum","BAM-Eintrag vorhanden, die ExecutionTime gehört jedoch nicht zum betrachteten Experimentlauf; daher kein run-spezifischer Nachweis.","BAM-Eintrag vorhanden, aber der Referenzzeitraum des Runs ist in der bereitgestellten RunTabelle nicht verfügbar.")))</f>
        <v>Kein passender BAM-Eintrag der untersuchten Komponente; daher kein run-spezifischer BAM-Nachweis.</v>
      </c>
    </row>
    <row r="3" spans="1:19" ht="54" customHeight="1">
      <c r="A3" s="4" t="s">
        <v>19</v>
      </c>
      <c r="B3" s="4" t="s">
        <v>235</v>
      </c>
      <c r="C3" s="4" t="s">
        <v>14</v>
      </c>
      <c r="D3" s="4" t="s">
        <v>15</v>
      </c>
      <c r="E3" s="4" t="s">
        <v>20</v>
      </c>
      <c r="F3" s="4" t="s">
        <v>17</v>
      </c>
      <c r="G3" s="4"/>
      <c r="H3" s="4"/>
      <c r="I3" s="7"/>
      <c r="J3" s="7"/>
      <c r="K3" s="7">
        <v>46255.448699884262</v>
      </c>
      <c r="L3" s="7">
        <v>46255.448714004633</v>
      </c>
      <c r="M3" s="5">
        <f t="shared" si="0"/>
        <v>0</v>
      </c>
      <c r="N3" s="5" t="str">
        <f t="shared" si="1"/>
        <v>-</v>
      </c>
      <c r="O3" s="5" t="str">
        <f t="shared" si="2"/>
        <v>-</v>
      </c>
      <c r="P3" s="5" t="str">
        <f t="shared" si="3"/>
        <v>-</v>
      </c>
      <c r="Q3" s="5" t="str">
        <f t="shared" si="4"/>
        <v>-</v>
      </c>
      <c r="R3" s="5" t="str">
        <f t="shared" si="5"/>
        <v>-</v>
      </c>
      <c r="S3" s="4" t="str">
        <f t="shared" si="6"/>
        <v>Kein passender BAM-Eintrag der untersuchten Komponente; daher kein run-spezifischer BAM-Nachweis.</v>
      </c>
    </row>
    <row r="4" spans="1:19" ht="54" customHeight="1">
      <c r="A4" s="4" t="s">
        <v>22</v>
      </c>
      <c r="B4" s="4" t="s">
        <v>235</v>
      </c>
      <c r="C4" s="4" t="s">
        <v>14</v>
      </c>
      <c r="D4" s="4" t="s">
        <v>15</v>
      </c>
      <c r="E4" s="4" t="s">
        <v>23</v>
      </c>
      <c r="F4" s="4" t="s">
        <v>17</v>
      </c>
      <c r="G4" s="4"/>
      <c r="H4" s="4"/>
      <c r="I4" s="7"/>
      <c r="J4" s="7"/>
      <c r="K4" s="7">
        <v>46255.452222453707</v>
      </c>
      <c r="L4" s="7">
        <v>46255.452236921294</v>
      </c>
      <c r="M4" s="5">
        <f t="shared" si="0"/>
        <v>0</v>
      </c>
      <c r="N4" s="5" t="str">
        <f t="shared" si="1"/>
        <v>-</v>
      </c>
      <c r="O4" s="5" t="str">
        <f t="shared" si="2"/>
        <v>-</v>
      </c>
      <c r="P4" s="5" t="str">
        <f t="shared" si="3"/>
        <v>-</v>
      </c>
      <c r="Q4" s="5" t="str">
        <f t="shared" si="4"/>
        <v>-</v>
      </c>
      <c r="R4" s="5" t="str">
        <f t="shared" si="5"/>
        <v>-</v>
      </c>
      <c r="S4" s="4" t="str">
        <f t="shared" si="6"/>
        <v>Kein passender BAM-Eintrag der untersuchten Komponente; daher kein run-spezifischer BAM-Nachweis.</v>
      </c>
    </row>
    <row r="5" spans="1:19" ht="54" customHeight="1">
      <c r="A5" s="4" t="s">
        <v>25</v>
      </c>
      <c r="B5" s="4" t="s">
        <v>235</v>
      </c>
      <c r="C5" s="4" t="s">
        <v>14</v>
      </c>
      <c r="D5" s="4" t="s">
        <v>26</v>
      </c>
      <c r="E5" s="4" t="s">
        <v>16</v>
      </c>
      <c r="F5" s="4" t="s">
        <v>17</v>
      </c>
      <c r="G5" s="4"/>
      <c r="H5" s="4"/>
      <c r="I5" s="7"/>
      <c r="J5" s="7"/>
      <c r="K5" s="7">
        <v>46255.545343634258</v>
      </c>
      <c r="L5" s="7">
        <v>46255.545359490738</v>
      </c>
      <c r="M5" s="5">
        <f t="shared" si="0"/>
        <v>0</v>
      </c>
      <c r="N5" s="5" t="str">
        <f t="shared" si="1"/>
        <v>-</v>
      </c>
      <c r="O5" s="5" t="str">
        <f t="shared" si="2"/>
        <v>-</v>
      </c>
      <c r="P5" s="5" t="str">
        <f t="shared" si="3"/>
        <v>-</v>
      </c>
      <c r="Q5" s="5" t="str">
        <f t="shared" si="4"/>
        <v>-</v>
      </c>
      <c r="R5" s="5" t="str">
        <f t="shared" si="5"/>
        <v>-</v>
      </c>
      <c r="S5" s="4" t="str">
        <f t="shared" si="6"/>
        <v>Kein passender BAM-Eintrag der untersuchten Komponente; daher kein run-spezifischer BAM-Nachweis.</v>
      </c>
    </row>
    <row r="6" spans="1:19" ht="54" customHeight="1">
      <c r="A6" s="4" t="s">
        <v>28</v>
      </c>
      <c r="B6" s="4" t="s">
        <v>235</v>
      </c>
      <c r="C6" s="4" t="s">
        <v>14</v>
      </c>
      <c r="D6" s="4" t="s">
        <v>26</v>
      </c>
      <c r="E6" s="4" t="s">
        <v>20</v>
      </c>
      <c r="F6" s="4" t="s">
        <v>17</v>
      </c>
      <c r="G6" s="4"/>
      <c r="H6" s="4"/>
      <c r="I6" s="7"/>
      <c r="J6" s="7"/>
      <c r="K6" s="7">
        <v>46255.549096875002</v>
      </c>
      <c r="L6" s="7">
        <v>46255.549111458335</v>
      </c>
      <c r="M6" s="5">
        <f t="shared" si="0"/>
        <v>0</v>
      </c>
      <c r="N6" s="5" t="str">
        <f t="shared" si="1"/>
        <v>-</v>
      </c>
      <c r="O6" s="5" t="str">
        <f t="shared" si="2"/>
        <v>-</v>
      </c>
      <c r="P6" s="5" t="str">
        <f t="shared" si="3"/>
        <v>-</v>
      </c>
      <c r="Q6" s="5" t="str">
        <f t="shared" si="4"/>
        <v>-</v>
      </c>
      <c r="R6" s="5" t="str">
        <f t="shared" si="5"/>
        <v>-</v>
      </c>
      <c r="S6" s="4" t="str">
        <f t="shared" si="6"/>
        <v>Kein passender BAM-Eintrag der untersuchten Komponente; daher kein run-spezifischer BAM-Nachweis.</v>
      </c>
    </row>
    <row r="7" spans="1:19" ht="54" customHeight="1">
      <c r="A7" s="4" t="s">
        <v>30</v>
      </c>
      <c r="B7" s="4" t="s">
        <v>235</v>
      </c>
      <c r="C7" s="4" t="s">
        <v>14</v>
      </c>
      <c r="D7" s="4" t="s">
        <v>26</v>
      </c>
      <c r="E7" s="4" t="s">
        <v>23</v>
      </c>
      <c r="F7" s="4" t="s">
        <v>17</v>
      </c>
      <c r="G7" s="4"/>
      <c r="H7" s="4"/>
      <c r="I7" s="7"/>
      <c r="J7" s="7"/>
      <c r="K7" s="7">
        <v>46255.554824305553</v>
      </c>
      <c r="L7" s="7">
        <v>46255.55484074074</v>
      </c>
      <c r="M7" s="5">
        <f t="shared" si="0"/>
        <v>0</v>
      </c>
      <c r="N7" s="5" t="str">
        <f t="shared" si="1"/>
        <v>-</v>
      </c>
      <c r="O7" s="5" t="str">
        <f t="shared" si="2"/>
        <v>-</v>
      </c>
      <c r="P7" s="5" t="str">
        <f t="shared" si="3"/>
        <v>-</v>
      </c>
      <c r="Q7" s="5" t="str">
        <f t="shared" si="4"/>
        <v>-</v>
      </c>
      <c r="R7" s="5" t="str">
        <f t="shared" si="5"/>
        <v>-</v>
      </c>
      <c r="S7" s="4" t="str">
        <f t="shared" si="6"/>
        <v>Kein passender BAM-Eintrag der untersuchten Komponente; daher kein run-spezifischer BAM-Nachweis.</v>
      </c>
    </row>
    <row r="8" spans="1:19" ht="54" customHeight="1">
      <c r="A8" s="4" t="s">
        <v>32</v>
      </c>
      <c r="B8" s="4" t="s">
        <v>235</v>
      </c>
      <c r="C8" s="4" t="s">
        <v>14</v>
      </c>
      <c r="D8" s="4" t="s">
        <v>33</v>
      </c>
      <c r="E8" s="4" t="s">
        <v>16</v>
      </c>
      <c r="F8" s="4" t="s">
        <v>242</v>
      </c>
      <c r="G8" s="4" t="s">
        <v>35</v>
      </c>
      <c r="H8" s="4" t="s">
        <v>36</v>
      </c>
      <c r="I8" s="7">
        <v>46255.57223351852</v>
      </c>
      <c r="J8" s="7">
        <v>46255.655566851849</v>
      </c>
      <c r="K8" s="7">
        <v>46255.655487615739</v>
      </c>
      <c r="L8" s="7">
        <v>46255.65556712963</v>
      </c>
      <c r="M8" s="5">
        <f t="shared" si="0"/>
        <v>1</v>
      </c>
      <c r="N8" s="5">
        <f t="shared" si="1"/>
        <v>2</v>
      </c>
      <c r="O8" s="5">
        <f t="shared" si="2"/>
        <v>2</v>
      </c>
      <c r="P8" s="5">
        <f t="shared" si="3"/>
        <v>1</v>
      </c>
      <c r="Q8" s="5">
        <f t="shared" si="4"/>
        <v>0</v>
      </c>
      <c r="R8" s="5">
        <f t="shared" si="5"/>
        <v>0</v>
      </c>
      <c r="S8" s="4" t="str">
        <f t="shared" si="6"/>
        <v>Run-spezifischer BAM-Befund: Executable-Pfad und ExecutionTime ordnen die Zielkomponente direkt dem Lauf zu; Benutzerkontext liegt über die SID vor. Kommandozeile, Parent-Prozess und konkrete A1/A2-Handlung werden nicht dokumentiert.</v>
      </c>
    </row>
    <row r="9" spans="1:19" ht="54" customHeight="1">
      <c r="A9" s="4" t="s">
        <v>41</v>
      </c>
      <c r="B9" s="4" t="s">
        <v>235</v>
      </c>
      <c r="C9" s="4" t="s">
        <v>14</v>
      </c>
      <c r="D9" s="4" t="s">
        <v>33</v>
      </c>
      <c r="E9" s="4" t="s">
        <v>20</v>
      </c>
      <c r="F9" s="4" t="s">
        <v>242</v>
      </c>
      <c r="G9" s="4" t="s">
        <v>35</v>
      </c>
      <c r="H9" s="4" t="s">
        <v>36</v>
      </c>
      <c r="I9" s="7">
        <v>46255.578990243055</v>
      </c>
      <c r="J9" s="7">
        <v>46255.662323576391</v>
      </c>
      <c r="K9" s="7">
        <v>46255.662316666669</v>
      </c>
      <c r="L9" s="7">
        <v>46255.66232372685</v>
      </c>
      <c r="M9" s="5">
        <f t="shared" si="0"/>
        <v>1</v>
      </c>
      <c r="N9" s="5">
        <f t="shared" si="1"/>
        <v>2</v>
      </c>
      <c r="O9" s="5">
        <f t="shared" si="2"/>
        <v>2</v>
      </c>
      <c r="P9" s="5">
        <f t="shared" si="3"/>
        <v>1</v>
      </c>
      <c r="Q9" s="5">
        <f t="shared" si="4"/>
        <v>0</v>
      </c>
      <c r="R9" s="5">
        <f t="shared" si="5"/>
        <v>0</v>
      </c>
      <c r="S9" s="4" t="str">
        <f t="shared" si="6"/>
        <v>Run-spezifischer BAM-Befund: Executable-Pfad und ExecutionTime ordnen die Zielkomponente direkt dem Lauf zu; Benutzerkontext liegt über die SID vor. Kommandozeile, Parent-Prozess und konkrete A1/A2-Handlung werden nicht dokumentiert.</v>
      </c>
    </row>
    <row r="10" spans="1:19" ht="54" customHeight="1">
      <c r="A10" s="4" t="s">
        <v>45</v>
      </c>
      <c r="B10" s="4" t="s">
        <v>235</v>
      </c>
      <c r="C10" s="4" t="s">
        <v>14</v>
      </c>
      <c r="D10" s="4" t="s">
        <v>33</v>
      </c>
      <c r="E10" s="4" t="s">
        <v>23</v>
      </c>
      <c r="F10" s="4" t="s">
        <v>243</v>
      </c>
      <c r="G10" s="4" t="s">
        <v>35</v>
      </c>
      <c r="H10" s="4" t="s">
        <v>36</v>
      </c>
      <c r="I10" s="7">
        <v>46236.589651921298</v>
      </c>
      <c r="J10" s="7">
        <v>46236.672985254627</v>
      </c>
      <c r="K10" s="7">
        <v>46255.667409837966</v>
      </c>
      <c r="L10" s="7">
        <v>46255.667426504631</v>
      </c>
      <c r="M10" s="5">
        <f t="shared" si="0"/>
        <v>0</v>
      </c>
      <c r="N10" s="5" t="str">
        <f t="shared" si="1"/>
        <v>-</v>
      </c>
      <c r="O10" s="5" t="str">
        <f t="shared" si="2"/>
        <v>-</v>
      </c>
      <c r="P10" s="5" t="str">
        <f t="shared" si="3"/>
        <v>-</v>
      </c>
      <c r="Q10" s="5" t="str">
        <f t="shared" si="4"/>
        <v>-</v>
      </c>
      <c r="R10" s="5" t="str">
        <f t="shared" si="5"/>
        <v>-</v>
      </c>
      <c r="S10" s="4" t="str">
        <f t="shared" si="6"/>
        <v>BAM-Eintrag vorhanden, die ExecutionTime gehört jedoch nicht zum betrachteten Experimentlauf; daher kein run-spezifischer Nachweis.</v>
      </c>
    </row>
    <row r="11" spans="1:19" ht="54" customHeight="1">
      <c r="A11" s="4" t="s">
        <v>49</v>
      </c>
      <c r="B11" s="4" t="s">
        <v>235</v>
      </c>
      <c r="C11" s="4" t="s">
        <v>50</v>
      </c>
      <c r="D11" s="4" t="s">
        <v>15</v>
      </c>
      <c r="E11" s="4" t="s">
        <v>16</v>
      </c>
      <c r="F11" s="4" t="s">
        <v>17</v>
      </c>
      <c r="G11" s="4"/>
      <c r="H11" s="4"/>
      <c r="I11" s="7"/>
      <c r="J11" s="7"/>
      <c r="K11" s="7">
        <v>46255.458393518522</v>
      </c>
      <c r="L11" s="7">
        <v>46255.458414583336</v>
      </c>
      <c r="M11" s="5">
        <f t="shared" si="0"/>
        <v>0</v>
      </c>
      <c r="N11" s="5" t="str">
        <f t="shared" si="1"/>
        <v>-</v>
      </c>
      <c r="O11" s="5" t="str">
        <f t="shared" si="2"/>
        <v>-</v>
      </c>
      <c r="P11" s="5" t="str">
        <f t="shared" si="3"/>
        <v>-</v>
      </c>
      <c r="Q11" s="5" t="str">
        <f t="shared" si="4"/>
        <v>-</v>
      </c>
      <c r="R11" s="5" t="str">
        <f t="shared" si="5"/>
        <v>-</v>
      </c>
      <c r="S11" s="4" t="str">
        <f t="shared" si="6"/>
        <v>Kein passender BAM-Eintrag der untersuchten Komponente; daher kein run-spezifischer BAM-Nachweis.</v>
      </c>
    </row>
    <row r="12" spans="1:19" ht="54" customHeight="1">
      <c r="A12" s="4" t="s">
        <v>52</v>
      </c>
      <c r="B12" s="4" t="s">
        <v>235</v>
      </c>
      <c r="C12" s="4" t="s">
        <v>50</v>
      </c>
      <c r="D12" s="4" t="s">
        <v>15</v>
      </c>
      <c r="E12" s="4" t="s">
        <v>20</v>
      </c>
      <c r="F12" s="4" t="s">
        <v>17</v>
      </c>
      <c r="G12" s="4"/>
      <c r="H12" s="4"/>
      <c r="I12" s="7"/>
      <c r="J12" s="7"/>
      <c r="K12" s="7">
        <v>46255.46417175926</v>
      </c>
      <c r="L12" s="7">
        <v>46255.464190740742</v>
      </c>
      <c r="M12" s="5">
        <f t="shared" si="0"/>
        <v>0</v>
      </c>
      <c r="N12" s="5" t="str">
        <f t="shared" si="1"/>
        <v>-</v>
      </c>
      <c r="O12" s="5" t="str">
        <f t="shared" si="2"/>
        <v>-</v>
      </c>
      <c r="P12" s="5" t="str">
        <f t="shared" si="3"/>
        <v>-</v>
      </c>
      <c r="Q12" s="5" t="str">
        <f t="shared" si="4"/>
        <v>-</v>
      </c>
      <c r="R12" s="5" t="str">
        <f t="shared" si="5"/>
        <v>-</v>
      </c>
      <c r="S12" s="4" t="str">
        <f t="shared" si="6"/>
        <v>Kein passender BAM-Eintrag der untersuchten Komponente; daher kein run-spezifischer BAM-Nachweis.</v>
      </c>
    </row>
    <row r="13" spans="1:19" ht="54" customHeight="1">
      <c r="A13" s="4" t="s">
        <v>54</v>
      </c>
      <c r="B13" s="4" t="s">
        <v>235</v>
      </c>
      <c r="C13" s="4" t="s">
        <v>50</v>
      </c>
      <c r="D13" s="4" t="s">
        <v>15</v>
      </c>
      <c r="E13" s="4" t="s">
        <v>23</v>
      </c>
      <c r="F13" s="4" t="s">
        <v>17</v>
      </c>
      <c r="G13" s="4"/>
      <c r="H13" s="4"/>
      <c r="I13" s="7"/>
      <c r="J13" s="7"/>
      <c r="K13" s="7">
        <v>46255.468292939811</v>
      </c>
      <c r="L13" s="7">
        <v>46255.468310648146</v>
      </c>
      <c r="M13" s="5">
        <f t="shared" si="0"/>
        <v>0</v>
      </c>
      <c r="N13" s="5" t="str">
        <f t="shared" si="1"/>
        <v>-</v>
      </c>
      <c r="O13" s="5" t="str">
        <f t="shared" si="2"/>
        <v>-</v>
      </c>
      <c r="P13" s="5" t="str">
        <f t="shared" si="3"/>
        <v>-</v>
      </c>
      <c r="Q13" s="5" t="str">
        <f t="shared" si="4"/>
        <v>-</v>
      </c>
      <c r="R13" s="5" t="str">
        <f t="shared" si="5"/>
        <v>-</v>
      </c>
      <c r="S13" s="4" t="str">
        <f t="shared" si="6"/>
        <v>Kein passender BAM-Eintrag der untersuchten Komponente; daher kein run-spezifischer BAM-Nachweis.</v>
      </c>
    </row>
    <row r="14" spans="1:19" ht="54" customHeight="1">
      <c r="A14" s="4" t="s">
        <v>56</v>
      </c>
      <c r="B14" s="4" t="s">
        <v>235</v>
      </c>
      <c r="C14" s="4" t="s">
        <v>50</v>
      </c>
      <c r="D14" s="4" t="s">
        <v>26</v>
      </c>
      <c r="E14" s="4" t="s">
        <v>16</v>
      </c>
      <c r="F14" s="4" t="s">
        <v>17</v>
      </c>
      <c r="G14" s="4"/>
      <c r="H14" s="4"/>
      <c r="I14" s="7"/>
      <c r="J14" s="7"/>
      <c r="K14" s="7">
        <v>46255.557934490738</v>
      </c>
      <c r="L14" s="7">
        <v>46255.557953703705</v>
      </c>
      <c r="M14" s="5">
        <f t="shared" si="0"/>
        <v>0</v>
      </c>
      <c r="N14" s="5" t="str">
        <f t="shared" si="1"/>
        <v>-</v>
      </c>
      <c r="O14" s="5" t="str">
        <f t="shared" si="2"/>
        <v>-</v>
      </c>
      <c r="P14" s="5" t="str">
        <f t="shared" si="3"/>
        <v>-</v>
      </c>
      <c r="Q14" s="5" t="str">
        <f t="shared" si="4"/>
        <v>-</v>
      </c>
      <c r="R14" s="5" t="str">
        <f t="shared" si="5"/>
        <v>-</v>
      </c>
      <c r="S14" s="4" t="str">
        <f t="shared" si="6"/>
        <v>Kein passender BAM-Eintrag der untersuchten Komponente; daher kein run-spezifischer BAM-Nachweis.</v>
      </c>
    </row>
    <row r="15" spans="1:19" ht="54" customHeight="1">
      <c r="A15" s="4" t="s">
        <v>58</v>
      </c>
      <c r="B15" s="4" t="s">
        <v>235</v>
      </c>
      <c r="C15" s="4" t="s">
        <v>50</v>
      </c>
      <c r="D15" s="4" t="s">
        <v>26</v>
      </c>
      <c r="E15" s="4" t="s">
        <v>20</v>
      </c>
      <c r="F15" s="4" t="s">
        <v>17</v>
      </c>
      <c r="G15" s="4"/>
      <c r="H15" s="4"/>
      <c r="I15" s="7"/>
      <c r="J15" s="7"/>
      <c r="K15" s="7">
        <v>46255.561761111108</v>
      </c>
      <c r="L15" s="7">
        <v>46255.56177951389</v>
      </c>
      <c r="M15" s="5">
        <f t="shared" si="0"/>
        <v>0</v>
      </c>
      <c r="N15" s="5" t="str">
        <f t="shared" si="1"/>
        <v>-</v>
      </c>
      <c r="O15" s="5" t="str">
        <f t="shared" si="2"/>
        <v>-</v>
      </c>
      <c r="P15" s="5" t="str">
        <f t="shared" si="3"/>
        <v>-</v>
      </c>
      <c r="Q15" s="5" t="str">
        <f t="shared" si="4"/>
        <v>-</v>
      </c>
      <c r="R15" s="5" t="str">
        <f t="shared" si="5"/>
        <v>-</v>
      </c>
      <c r="S15" s="4" t="str">
        <f t="shared" si="6"/>
        <v>Kein passender BAM-Eintrag der untersuchten Komponente; daher kein run-spezifischer BAM-Nachweis.</v>
      </c>
    </row>
    <row r="16" spans="1:19" ht="54" customHeight="1">
      <c r="A16" s="4" t="s">
        <v>60</v>
      </c>
      <c r="B16" s="4" t="s">
        <v>235</v>
      </c>
      <c r="C16" s="4" t="s">
        <v>50</v>
      </c>
      <c r="D16" s="4" t="s">
        <v>26</v>
      </c>
      <c r="E16" s="4" t="s">
        <v>23</v>
      </c>
      <c r="F16" s="4" t="s">
        <v>17</v>
      </c>
      <c r="G16" s="4"/>
      <c r="H16" s="4"/>
      <c r="I16" s="7"/>
      <c r="J16" s="7"/>
      <c r="K16" s="7">
        <v>46255.564901273145</v>
      </c>
      <c r="L16" s="7">
        <v>46255.56491724537</v>
      </c>
      <c r="M16" s="5">
        <f t="shared" si="0"/>
        <v>0</v>
      </c>
      <c r="N16" s="5" t="str">
        <f t="shared" si="1"/>
        <v>-</v>
      </c>
      <c r="O16" s="5" t="str">
        <f t="shared" si="2"/>
        <v>-</v>
      </c>
      <c r="P16" s="5" t="str">
        <f t="shared" si="3"/>
        <v>-</v>
      </c>
      <c r="Q16" s="5" t="str">
        <f t="shared" si="4"/>
        <v>-</v>
      </c>
      <c r="R16" s="5" t="str">
        <f t="shared" si="5"/>
        <v>-</v>
      </c>
      <c r="S16" s="4" t="str">
        <f t="shared" si="6"/>
        <v>Kein passender BAM-Eintrag der untersuchten Komponente; daher kein run-spezifischer BAM-Nachweis.</v>
      </c>
    </row>
    <row r="17" spans="1:19" ht="54" customHeight="1">
      <c r="A17" s="4" t="s">
        <v>62</v>
      </c>
      <c r="B17" s="4" t="s">
        <v>235</v>
      </c>
      <c r="C17" s="4" t="s">
        <v>50</v>
      </c>
      <c r="D17" s="4" t="s">
        <v>33</v>
      </c>
      <c r="E17" s="4" t="s">
        <v>16</v>
      </c>
      <c r="F17" s="4" t="s">
        <v>242</v>
      </c>
      <c r="G17" s="4" t="s">
        <v>35</v>
      </c>
      <c r="H17" s="4" t="s">
        <v>36</v>
      </c>
      <c r="I17" s="7">
        <v>46255.589941203703</v>
      </c>
      <c r="J17" s="7">
        <v>46255.673274537039</v>
      </c>
      <c r="K17" s="7">
        <v>46255.673263425924</v>
      </c>
      <c r="L17" s="7">
        <v>46255.673274652778</v>
      </c>
      <c r="M17" s="5">
        <f t="shared" si="0"/>
        <v>1</v>
      </c>
      <c r="N17" s="5">
        <f t="shared" si="1"/>
        <v>2</v>
      </c>
      <c r="O17" s="5">
        <f t="shared" si="2"/>
        <v>2</v>
      </c>
      <c r="P17" s="5">
        <f t="shared" si="3"/>
        <v>1</v>
      </c>
      <c r="Q17" s="5">
        <f t="shared" si="4"/>
        <v>0</v>
      </c>
      <c r="R17" s="5">
        <f t="shared" si="5"/>
        <v>0</v>
      </c>
      <c r="S17" s="4" t="str">
        <f t="shared" si="6"/>
        <v>Run-spezifischer BAM-Befund: Executable-Pfad und ExecutionTime ordnen die Zielkomponente direkt dem Lauf zu; Benutzerkontext liegt über die SID vor. Kommandozeile, Parent-Prozess und konkrete A1/A2-Handlung werden nicht dokumentiert.</v>
      </c>
    </row>
    <row r="18" spans="1:19" ht="54" customHeight="1">
      <c r="A18" s="4" t="s">
        <v>66</v>
      </c>
      <c r="B18" s="4" t="s">
        <v>235</v>
      </c>
      <c r="C18" s="4" t="s">
        <v>50</v>
      </c>
      <c r="D18" s="4" t="s">
        <v>33</v>
      </c>
      <c r="E18" s="4" t="s">
        <v>20</v>
      </c>
      <c r="F18" s="4" t="s">
        <v>242</v>
      </c>
      <c r="G18" s="4" t="s">
        <v>35</v>
      </c>
      <c r="H18" s="4" t="s">
        <v>36</v>
      </c>
      <c r="I18" s="7">
        <v>46255.596209444448</v>
      </c>
      <c r="J18" s="7">
        <v>46255.679542777776</v>
      </c>
      <c r="K18" s="7">
        <v>46255.679533564813</v>
      </c>
      <c r="L18" s="7">
        <v>46255.679542939812</v>
      </c>
      <c r="M18" s="5">
        <f t="shared" si="0"/>
        <v>1</v>
      </c>
      <c r="N18" s="5">
        <f t="shared" si="1"/>
        <v>2</v>
      </c>
      <c r="O18" s="5">
        <f t="shared" si="2"/>
        <v>2</v>
      </c>
      <c r="P18" s="5">
        <f t="shared" si="3"/>
        <v>1</v>
      </c>
      <c r="Q18" s="5">
        <f t="shared" si="4"/>
        <v>0</v>
      </c>
      <c r="R18" s="5">
        <f t="shared" si="5"/>
        <v>0</v>
      </c>
      <c r="S18" s="4" t="str">
        <f t="shared" si="6"/>
        <v>Run-spezifischer BAM-Befund: Executable-Pfad und ExecutionTime ordnen die Zielkomponente direkt dem Lauf zu; Benutzerkontext liegt über die SID vor. Kommandozeile, Parent-Prozess und konkrete A1/A2-Handlung werden nicht dokumentiert.</v>
      </c>
    </row>
    <row r="19" spans="1:19" ht="54" customHeight="1">
      <c r="A19" s="4" t="s">
        <v>70</v>
      </c>
      <c r="B19" s="4" t="s">
        <v>235</v>
      </c>
      <c r="C19" s="4" t="s">
        <v>50</v>
      </c>
      <c r="D19" s="4" t="s">
        <v>33</v>
      </c>
      <c r="E19" s="4" t="s">
        <v>23</v>
      </c>
      <c r="F19" s="4" t="s">
        <v>242</v>
      </c>
      <c r="G19" s="4" t="s">
        <v>35</v>
      </c>
      <c r="H19" s="4" t="s">
        <v>36</v>
      </c>
      <c r="I19" s="7">
        <v>46255.603730891205</v>
      </c>
      <c r="J19" s="7">
        <v>46255.687064224534</v>
      </c>
      <c r="K19" s="7">
        <v>46255.687052662041</v>
      </c>
      <c r="L19" s="7">
        <v>46255.687064467595</v>
      </c>
      <c r="M19" s="5">
        <f t="shared" si="0"/>
        <v>1</v>
      </c>
      <c r="N19" s="5">
        <f t="shared" si="1"/>
        <v>2</v>
      </c>
      <c r="O19" s="5">
        <f t="shared" si="2"/>
        <v>2</v>
      </c>
      <c r="P19" s="5">
        <f t="shared" si="3"/>
        <v>1</v>
      </c>
      <c r="Q19" s="5">
        <f t="shared" si="4"/>
        <v>0</v>
      </c>
      <c r="R19" s="5">
        <f t="shared" si="5"/>
        <v>0</v>
      </c>
      <c r="S19" s="4" t="str">
        <f t="shared" si="6"/>
        <v>Run-spezifischer BAM-Befund: Executable-Pfad und ExecutionTime ordnen die Zielkomponente direkt dem Lauf zu; Benutzerkontext liegt über die SID vor. Kommandozeile, Parent-Prozess und konkrete A1/A2-Handlung werden nicht dokumentiert.</v>
      </c>
    </row>
    <row r="20" spans="1:19" ht="54" customHeight="1">
      <c r="A20" s="4" t="s">
        <v>74</v>
      </c>
      <c r="B20" s="4" t="s">
        <v>236</v>
      </c>
      <c r="C20" s="4" t="s">
        <v>14</v>
      </c>
      <c r="D20" s="4" t="s">
        <v>15</v>
      </c>
      <c r="E20" s="4" t="s">
        <v>16</v>
      </c>
      <c r="F20" s="4" t="s">
        <v>242</v>
      </c>
      <c r="G20" s="4" t="s">
        <v>35</v>
      </c>
      <c r="H20" s="4" t="s">
        <v>76</v>
      </c>
      <c r="I20" s="7">
        <v>46255.389714317127</v>
      </c>
      <c r="J20" s="7">
        <v>46255.473047650463</v>
      </c>
      <c r="K20" s="7">
        <v>46255.473043749997</v>
      </c>
      <c r="L20" s="7">
        <v>46255.473047569445</v>
      </c>
      <c r="M20" s="5">
        <f t="shared" si="0"/>
        <v>1</v>
      </c>
      <c r="N20" s="5">
        <f t="shared" si="1"/>
        <v>2</v>
      </c>
      <c r="O20" s="5">
        <f t="shared" si="2"/>
        <v>2</v>
      </c>
      <c r="P20" s="5">
        <f t="shared" si="3"/>
        <v>1</v>
      </c>
      <c r="Q20" s="5">
        <f t="shared" si="4"/>
        <v>0</v>
      </c>
      <c r="R20" s="5">
        <f t="shared" si="5"/>
        <v>0</v>
      </c>
      <c r="S20" s="4" t="str">
        <f t="shared" si="6"/>
        <v>Run-spezifischer BAM-Befund: Executable-Pfad und ExecutionTime ordnen die Zielkomponente direkt dem Lauf zu; Benutzerkontext liegt über die SID vor. Kommandozeile, Parent-Prozess und konkrete A1/A2-Handlung werden nicht dokumentiert.</v>
      </c>
    </row>
    <row r="21" spans="1:19" ht="54" customHeight="1">
      <c r="A21" s="4" t="s">
        <v>80</v>
      </c>
      <c r="B21" s="4" t="s">
        <v>236</v>
      </c>
      <c r="C21" s="4" t="s">
        <v>14</v>
      </c>
      <c r="D21" s="4" t="s">
        <v>15</v>
      </c>
      <c r="E21" s="4" t="s">
        <v>20</v>
      </c>
      <c r="F21" s="4" t="s">
        <v>242</v>
      </c>
      <c r="G21" s="4" t="s">
        <v>35</v>
      </c>
      <c r="H21" s="4" t="s">
        <v>76</v>
      </c>
      <c r="I21" s="7">
        <v>46255.394486736113</v>
      </c>
      <c r="J21" s="7">
        <v>46255.477820069442</v>
      </c>
      <c r="K21" s="7">
        <v>46255.477816782404</v>
      </c>
      <c r="L21" s="7">
        <v>46255.477820023145</v>
      </c>
      <c r="M21" s="5">
        <f t="shared" si="0"/>
        <v>1</v>
      </c>
      <c r="N21" s="5">
        <f t="shared" si="1"/>
        <v>2</v>
      </c>
      <c r="O21" s="5">
        <f t="shared" si="2"/>
        <v>2</v>
      </c>
      <c r="P21" s="5">
        <f t="shared" si="3"/>
        <v>1</v>
      </c>
      <c r="Q21" s="5">
        <f t="shared" si="4"/>
        <v>0</v>
      </c>
      <c r="R21" s="5">
        <f t="shared" si="5"/>
        <v>0</v>
      </c>
      <c r="S21" s="4" t="str">
        <f t="shared" si="6"/>
        <v>Run-spezifischer BAM-Befund: Executable-Pfad und ExecutionTime ordnen die Zielkomponente direkt dem Lauf zu; Benutzerkontext liegt über die SID vor. Kommandozeile, Parent-Prozess und konkrete A1/A2-Handlung werden nicht dokumentiert.</v>
      </c>
    </row>
    <row r="22" spans="1:19" ht="54" customHeight="1">
      <c r="A22" s="4" t="s">
        <v>84</v>
      </c>
      <c r="B22" s="4" t="s">
        <v>236</v>
      </c>
      <c r="C22" s="4" t="s">
        <v>14</v>
      </c>
      <c r="D22" s="4" t="s">
        <v>15</v>
      </c>
      <c r="E22" s="4" t="s">
        <v>23</v>
      </c>
      <c r="F22" s="4" t="s">
        <v>242</v>
      </c>
      <c r="G22" s="4" t="s">
        <v>35</v>
      </c>
      <c r="H22" s="4" t="s">
        <v>76</v>
      </c>
      <c r="I22" s="7">
        <v>46255.401678043978</v>
      </c>
      <c r="J22" s="7">
        <v>46255.485011377314</v>
      </c>
      <c r="K22" s="7">
        <v>46255.485006828705</v>
      </c>
      <c r="L22" s="7">
        <v>46255.485011458331</v>
      </c>
      <c r="M22" s="5">
        <f t="shared" si="0"/>
        <v>1</v>
      </c>
      <c r="N22" s="5">
        <f t="shared" si="1"/>
        <v>2</v>
      </c>
      <c r="O22" s="5">
        <f t="shared" si="2"/>
        <v>2</v>
      </c>
      <c r="P22" s="5">
        <f t="shared" si="3"/>
        <v>1</v>
      </c>
      <c r="Q22" s="5">
        <f t="shared" si="4"/>
        <v>0</v>
      </c>
      <c r="R22" s="5">
        <f t="shared" si="5"/>
        <v>0</v>
      </c>
      <c r="S22" s="4" t="str">
        <f t="shared" si="6"/>
        <v>Run-spezifischer BAM-Befund: Executable-Pfad und ExecutionTime ordnen die Zielkomponente direkt dem Lauf zu; Benutzerkontext liegt über die SID vor. Kommandozeile, Parent-Prozess und konkrete A1/A2-Handlung werden nicht dokumentiert.</v>
      </c>
    </row>
    <row r="23" spans="1:19" ht="54" customHeight="1">
      <c r="A23" s="4" t="s">
        <v>88</v>
      </c>
      <c r="B23" s="4" t="s">
        <v>236</v>
      </c>
      <c r="C23" s="4" t="s">
        <v>14</v>
      </c>
      <c r="D23" s="4" t="s">
        <v>26</v>
      </c>
      <c r="E23" s="4" t="s">
        <v>16</v>
      </c>
      <c r="F23" s="4" t="s">
        <v>242</v>
      </c>
      <c r="G23" s="4" t="s">
        <v>35</v>
      </c>
      <c r="H23" s="4" t="s">
        <v>76</v>
      </c>
      <c r="I23" s="7">
        <v>46255.484946307872</v>
      </c>
      <c r="J23" s="7">
        <v>46255.5682796412</v>
      </c>
      <c r="K23" s="7">
        <v>46255.56827152778</v>
      </c>
      <c r="L23" s="7">
        <v>46255.568279629631</v>
      </c>
      <c r="M23" s="5">
        <f t="shared" si="0"/>
        <v>1</v>
      </c>
      <c r="N23" s="5">
        <f t="shared" si="1"/>
        <v>2</v>
      </c>
      <c r="O23" s="5">
        <f t="shared" si="2"/>
        <v>2</v>
      </c>
      <c r="P23" s="5">
        <f t="shared" si="3"/>
        <v>1</v>
      </c>
      <c r="Q23" s="5">
        <f t="shared" si="4"/>
        <v>0</v>
      </c>
      <c r="R23" s="5">
        <f t="shared" si="5"/>
        <v>0</v>
      </c>
      <c r="S23" s="4" t="str">
        <f t="shared" si="6"/>
        <v>Run-spezifischer BAM-Befund: Executable-Pfad und ExecutionTime ordnen die Zielkomponente direkt dem Lauf zu; Benutzerkontext liegt über die SID vor. Kommandozeile, Parent-Prozess und konkrete A1/A2-Handlung werden nicht dokumentiert.</v>
      </c>
    </row>
    <row r="24" spans="1:19" ht="54" customHeight="1">
      <c r="A24" s="4" t="s">
        <v>92</v>
      </c>
      <c r="B24" s="4" t="s">
        <v>236</v>
      </c>
      <c r="C24" s="4" t="s">
        <v>14</v>
      </c>
      <c r="D24" s="4" t="s">
        <v>26</v>
      </c>
      <c r="E24" s="4" t="s">
        <v>20</v>
      </c>
      <c r="F24" s="4" t="s">
        <v>242</v>
      </c>
      <c r="G24" s="4" t="s">
        <v>35</v>
      </c>
      <c r="H24" s="4" t="s">
        <v>76</v>
      </c>
      <c r="I24" s="7">
        <v>46255.488191666664</v>
      </c>
      <c r="J24" s="7">
        <v>46255.571524999999</v>
      </c>
      <c r="K24" s="7">
        <v>46255.571517245371</v>
      </c>
      <c r="L24" s="7">
        <v>46255.571524999999</v>
      </c>
      <c r="M24" s="5">
        <f t="shared" si="0"/>
        <v>1</v>
      </c>
      <c r="N24" s="5">
        <f t="shared" si="1"/>
        <v>2</v>
      </c>
      <c r="O24" s="5">
        <f t="shared" si="2"/>
        <v>2</v>
      </c>
      <c r="P24" s="5">
        <f t="shared" si="3"/>
        <v>1</v>
      </c>
      <c r="Q24" s="5">
        <f t="shared" si="4"/>
        <v>0</v>
      </c>
      <c r="R24" s="5">
        <f t="shared" si="5"/>
        <v>0</v>
      </c>
      <c r="S24" s="4" t="str">
        <f t="shared" si="6"/>
        <v>Run-spezifischer BAM-Befund: Executable-Pfad und ExecutionTime ordnen die Zielkomponente direkt dem Lauf zu; Benutzerkontext liegt über die SID vor. Kommandozeile, Parent-Prozess und konkrete A1/A2-Handlung werden nicht dokumentiert.</v>
      </c>
    </row>
    <row r="25" spans="1:19" ht="54" customHeight="1">
      <c r="A25" s="4" t="s">
        <v>96</v>
      </c>
      <c r="B25" s="4" t="s">
        <v>236</v>
      </c>
      <c r="C25" s="4" t="s">
        <v>14</v>
      </c>
      <c r="D25" s="4" t="s">
        <v>26</v>
      </c>
      <c r="E25" s="4" t="s">
        <v>23</v>
      </c>
      <c r="F25" s="4" t="s">
        <v>242</v>
      </c>
      <c r="G25" s="4" t="s">
        <v>35</v>
      </c>
      <c r="H25" s="4" t="s">
        <v>76</v>
      </c>
      <c r="I25" s="7">
        <v>46255.491442372688</v>
      </c>
      <c r="J25" s="7">
        <v>46255.574775706016</v>
      </c>
      <c r="K25" s="7">
        <v>46255.574768981482</v>
      </c>
      <c r="L25" s="7">
        <v>46255.574775694447</v>
      </c>
      <c r="M25" s="5">
        <f t="shared" si="0"/>
        <v>1</v>
      </c>
      <c r="N25" s="5">
        <f t="shared" si="1"/>
        <v>2</v>
      </c>
      <c r="O25" s="5">
        <f t="shared" si="2"/>
        <v>2</v>
      </c>
      <c r="P25" s="5">
        <f t="shared" si="3"/>
        <v>1</v>
      </c>
      <c r="Q25" s="5">
        <f t="shared" si="4"/>
        <v>0</v>
      </c>
      <c r="R25" s="5">
        <f t="shared" si="5"/>
        <v>0</v>
      </c>
      <c r="S25" s="4" t="str">
        <f t="shared" si="6"/>
        <v>Run-spezifischer BAM-Befund: Executable-Pfad und ExecutionTime ordnen die Zielkomponente direkt dem Lauf zu; Benutzerkontext liegt über die SID vor. Kommandozeile, Parent-Prozess und konkrete A1/A2-Handlung werden nicht dokumentiert.</v>
      </c>
    </row>
    <row r="26" spans="1:19" ht="54" customHeight="1">
      <c r="A26" s="4" t="s">
        <v>100</v>
      </c>
      <c r="B26" s="4" t="s">
        <v>236</v>
      </c>
      <c r="C26" s="4" t="s">
        <v>14</v>
      </c>
      <c r="D26" s="4" t="s">
        <v>33</v>
      </c>
      <c r="E26" s="4" t="s">
        <v>16</v>
      </c>
      <c r="F26" s="4" t="s">
        <v>242</v>
      </c>
      <c r="G26" s="4" t="s">
        <v>35</v>
      </c>
      <c r="H26" s="4" t="s">
        <v>76</v>
      </c>
      <c r="I26" s="7">
        <v>46255.610762511576</v>
      </c>
      <c r="J26" s="7">
        <v>46255.694095844905</v>
      </c>
      <c r="K26" s="7">
        <v>46255.694083449074</v>
      </c>
      <c r="L26" s="7">
        <v>46255.694095833336</v>
      </c>
      <c r="M26" s="5">
        <f t="shared" si="0"/>
        <v>1</v>
      </c>
      <c r="N26" s="5">
        <f t="shared" si="1"/>
        <v>2</v>
      </c>
      <c r="O26" s="5">
        <f t="shared" si="2"/>
        <v>2</v>
      </c>
      <c r="P26" s="5">
        <f t="shared" si="3"/>
        <v>1</v>
      </c>
      <c r="Q26" s="5">
        <f t="shared" si="4"/>
        <v>0</v>
      </c>
      <c r="R26" s="5">
        <f t="shared" si="5"/>
        <v>0</v>
      </c>
      <c r="S26" s="4" t="str">
        <f t="shared" si="6"/>
        <v>Run-spezifischer BAM-Befund: Executable-Pfad und ExecutionTime ordnen die Zielkomponente direkt dem Lauf zu; Benutzerkontext liegt über die SID vor. Kommandozeile, Parent-Prozess und konkrete A1/A2-Handlung werden nicht dokumentiert.</v>
      </c>
    </row>
    <row r="27" spans="1:19" ht="54" customHeight="1">
      <c r="A27" s="4" t="s">
        <v>104</v>
      </c>
      <c r="B27" s="4" t="s">
        <v>236</v>
      </c>
      <c r="C27" s="4" t="s">
        <v>14</v>
      </c>
      <c r="D27" s="4" t="s">
        <v>33</v>
      </c>
      <c r="E27" s="4" t="s">
        <v>20</v>
      </c>
      <c r="F27" s="4" t="s">
        <v>242</v>
      </c>
      <c r="G27" s="4" t="s">
        <v>35</v>
      </c>
      <c r="H27" s="4" t="s">
        <v>76</v>
      </c>
      <c r="I27" s="7">
        <v>46255.62251616898</v>
      </c>
      <c r="J27" s="7">
        <v>46255.705849502316</v>
      </c>
      <c r="K27" s="7">
        <v>46255.705837384259</v>
      </c>
      <c r="L27" s="7">
        <v>46255.705849421298</v>
      </c>
      <c r="M27" s="5">
        <f t="shared" si="0"/>
        <v>1</v>
      </c>
      <c r="N27" s="5">
        <f t="shared" si="1"/>
        <v>2</v>
      </c>
      <c r="O27" s="5">
        <f t="shared" si="2"/>
        <v>2</v>
      </c>
      <c r="P27" s="5">
        <f t="shared" si="3"/>
        <v>1</v>
      </c>
      <c r="Q27" s="5">
        <f t="shared" si="4"/>
        <v>0</v>
      </c>
      <c r="R27" s="5">
        <f t="shared" si="5"/>
        <v>0</v>
      </c>
      <c r="S27" s="4" t="str">
        <f t="shared" si="6"/>
        <v>Run-spezifischer BAM-Befund: Executable-Pfad und ExecutionTime ordnen die Zielkomponente direkt dem Lauf zu; Benutzerkontext liegt über die SID vor. Kommandozeile, Parent-Prozess und konkrete A1/A2-Handlung werden nicht dokumentiert.</v>
      </c>
    </row>
    <row r="28" spans="1:19" ht="54" customHeight="1">
      <c r="A28" s="4" t="s">
        <v>108</v>
      </c>
      <c r="B28" s="4" t="s">
        <v>236</v>
      </c>
      <c r="C28" s="4" t="s">
        <v>14</v>
      </c>
      <c r="D28" s="4" t="s">
        <v>33</v>
      </c>
      <c r="E28" s="4" t="s">
        <v>23</v>
      </c>
      <c r="F28" s="4" t="s">
        <v>242</v>
      </c>
      <c r="G28" s="4" t="s">
        <v>35</v>
      </c>
      <c r="H28" s="4" t="s">
        <v>76</v>
      </c>
      <c r="I28" s="7">
        <v>46255.644231516206</v>
      </c>
      <c r="J28" s="7">
        <v>46255.727564849534</v>
      </c>
      <c r="K28" s="7">
        <v>46255.727550578704</v>
      </c>
      <c r="L28" s="7">
        <v>46255.727564814813</v>
      </c>
      <c r="M28" s="5">
        <f t="shared" si="0"/>
        <v>1</v>
      </c>
      <c r="N28" s="5">
        <f t="shared" si="1"/>
        <v>2</v>
      </c>
      <c r="O28" s="5">
        <f t="shared" si="2"/>
        <v>2</v>
      </c>
      <c r="P28" s="5">
        <f t="shared" si="3"/>
        <v>1</v>
      </c>
      <c r="Q28" s="5">
        <f t="shared" si="4"/>
        <v>0</v>
      </c>
      <c r="R28" s="5">
        <f t="shared" si="5"/>
        <v>0</v>
      </c>
      <c r="S28" s="4" t="str">
        <f t="shared" si="6"/>
        <v>Run-spezifischer BAM-Befund: Executable-Pfad und ExecutionTime ordnen die Zielkomponente direkt dem Lauf zu; Benutzerkontext liegt über die SID vor. Kommandozeile, Parent-Prozess und konkrete A1/A2-Handlung werden nicht dokumentiert.</v>
      </c>
    </row>
    <row r="29" spans="1:19" ht="54" customHeight="1">
      <c r="A29" s="4" t="s">
        <v>112</v>
      </c>
      <c r="B29" s="4" t="s">
        <v>236</v>
      </c>
      <c r="C29" s="4" t="s">
        <v>50</v>
      </c>
      <c r="D29" s="4" t="s">
        <v>15</v>
      </c>
      <c r="E29" s="4" t="s">
        <v>16</v>
      </c>
      <c r="F29" s="4" t="s">
        <v>242</v>
      </c>
      <c r="G29" s="4" t="s">
        <v>35</v>
      </c>
      <c r="H29" s="4" t="s">
        <v>76</v>
      </c>
      <c r="I29" s="7">
        <v>46255.405719849536</v>
      </c>
      <c r="J29" s="7">
        <v>46255.489053182871</v>
      </c>
      <c r="K29" s="7">
        <v>46255.489044907408</v>
      </c>
      <c r="L29" s="7">
        <v>46255.489053124998</v>
      </c>
      <c r="M29" s="5">
        <f t="shared" si="0"/>
        <v>1</v>
      </c>
      <c r="N29" s="5">
        <f t="shared" si="1"/>
        <v>2</v>
      </c>
      <c r="O29" s="5">
        <f t="shared" si="2"/>
        <v>2</v>
      </c>
      <c r="P29" s="5">
        <f t="shared" si="3"/>
        <v>1</v>
      </c>
      <c r="Q29" s="5">
        <f t="shared" si="4"/>
        <v>0</v>
      </c>
      <c r="R29" s="5">
        <f t="shared" si="5"/>
        <v>0</v>
      </c>
      <c r="S29" s="4" t="str">
        <f t="shared" si="6"/>
        <v>Run-spezifischer BAM-Befund: Executable-Pfad und ExecutionTime ordnen die Zielkomponente direkt dem Lauf zu; Benutzerkontext liegt über die SID vor. Kommandozeile, Parent-Prozess und konkrete A1/A2-Handlung werden nicht dokumentiert.</v>
      </c>
    </row>
    <row r="30" spans="1:19" ht="54" customHeight="1">
      <c r="A30" s="4" t="s">
        <v>116</v>
      </c>
      <c r="B30" s="4" t="s">
        <v>236</v>
      </c>
      <c r="C30" s="4" t="s">
        <v>50</v>
      </c>
      <c r="D30" s="4" t="s">
        <v>15</v>
      </c>
      <c r="E30" s="4" t="s">
        <v>20</v>
      </c>
      <c r="F30" s="4" t="s">
        <v>242</v>
      </c>
      <c r="G30" s="4" t="s">
        <v>35</v>
      </c>
      <c r="H30" s="4" t="s">
        <v>76</v>
      </c>
      <c r="I30" s="7">
        <v>46255.410269629632</v>
      </c>
      <c r="J30" s="7">
        <v>46255.493602962961</v>
      </c>
      <c r="K30" s="7">
        <v>46255.493595601853</v>
      </c>
      <c r="L30" s="7">
        <v>46255.493603009258</v>
      </c>
      <c r="M30" s="5">
        <f t="shared" si="0"/>
        <v>1</v>
      </c>
      <c r="N30" s="5">
        <f t="shared" si="1"/>
        <v>2</v>
      </c>
      <c r="O30" s="5">
        <f t="shared" si="2"/>
        <v>2</v>
      </c>
      <c r="P30" s="5">
        <f t="shared" si="3"/>
        <v>1</v>
      </c>
      <c r="Q30" s="5">
        <f t="shared" si="4"/>
        <v>0</v>
      </c>
      <c r="R30" s="5">
        <f t="shared" si="5"/>
        <v>0</v>
      </c>
      <c r="S30" s="4" t="str">
        <f t="shared" si="6"/>
        <v>Run-spezifischer BAM-Befund: Executable-Pfad und ExecutionTime ordnen die Zielkomponente direkt dem Lauf zu; Benutzerkontext liegt über die SID vor. Kommandozeile, Parent-Prozess und konkrete A1/A2-Handlung werden nicht dokumentiert.</v>
      </c>
    </row>
    <row r="31" spans="1:19" ht="54" customHeight="1">
      <c r="A31" s="4" t="s">
        <v>120</v>
      </c>
      <c r="B31" s="4" t="s">
        <v>236</v>
      </c>
      <c r="C31" s="4" t="s">
        <v>50</v>
      </c>
      <c r="D31" s="4" t="s">
        <v>15</v>
      </c>
      <c r="E31" s="4" t="s">
        <v>23</v>
      </c>
      <c r="F31" s="4" t="s">
        <v>242</v>
      </c>
      <c r="G31" s="4" t="s">
        <v>35</v>
      </c>
      <c r="H31" s="4" t="s">
        <v>76</v>
      </c>
      <c r="I31" s="7">
        <v>46255.413826759257</v>
      </c>
      <c r="J31" s="7">
        <v>46255.497160092593</v>
      </c>
      <c r="K31" s="7">
        <v>46255.497152199074</v>
      </c>
      <c r="L31" s="7">
        <v>46255.497160069448</v>
      </c>
      <c r="M31" s="5">
        <f t="shared" si="0"/>
        <v>1</v>
      </c>
      <c r="N31" s="5">
        <f t="shared" si="1"/>
        <v>2</v>
      </c>
      <c r="O31" s="5">
        <f t="shared" si="2"/>
        <v>2</v>
      </c>
      <c r="P31" s="5">
        <f t="shared" si="3"/>
        <v>1</v>
      </c>
      <c r="Q31" s="5">
        <f t="shared" si="4"/>
        <v>0</v>
      </c>
      <c r="R31" s="5">
        <f t="shared" si="5"/>
        <v>0</v>
      </c>
      <c r="S31" s="4" t="str">
        <f t="shared" si="6"/>
        <v>Run-spezifischer BAM-Befund: Executable-Pfad und ExecutionTime ordnen die Zielkomponente direkt dem Lauf zu; Benutzerkontext liegt über die SID vor. Kommandozeile, Parent-Prozess und konkrete A1/A2-Handlung werden nicht dokumentiert.</v>
      </c>
    </row>
    <row r="32" spans="1:19" ht="54" customHeight="1">
      <c r="A32" s="4" t="s">
        <v>124</v>
      </c>
      <c r="B32" s="4" t="s">
        <v>236</v>
      </c>
      <c r="C32" s="4" t="s">
        <v>50</v>
      </c>
      <c r="D32" s="4" t="s">
        <v>26</v>
      </c>
      <c r="E32" s="4" t="s">
        <v>16</v>
      </c>
      <c r="F32" s="4" t="s">
        <v>242</v>
      </c>
      <c r="G32" s="4" t="s">
        <v>35</v>
      </c>
      <c r="H32" s="4" t="s">
        <v>76</v>
      </c>
      <c r="I32" s="7">
        <v>46255.495015393521</v>
      </c>
      <c r="J32" s="7">
        <v>46255.578348726849</v>
      </c>
      <c r="K32" s="7">
        <v>46255.57833877315</v>
      </c>
      <c r="L32" s="7">
        <v>46255.578348726849</v>
      </c>
      <c r="M32" s="5">
        <f t="shared" si="0"/>
        <v>1</v>
      </c>
      <c r="N32" s="5">
        <f t="shared" si="1"/>
        <v>2</v>
      </c>
      <c r="O32" s="5">
        <f t="shared" si="2"/>
        <v>2</v>
      </c>
      <c r="P32" s="5">
        <f t="shared" si="3"/>
        <v>1</v>
      </c>
      <c r="Q32" s="5">
        <f t="shared" si="4"/>
        <v>0</v>
      </c>
      <c r="R32" s="5">
        <f t="shared" si="5"/>
        <v>0</v>
      </c>
      <c r="S32" s="4" t="str">
        <f t="shared" si="6"/>
        <v>Run-spezifischer BAM-Befund: Executable-Pfad und ExecutionTime ordnen die Zielkomponente direkt dem Lauf zu; Benutzerkontext liegt über die SID vor. Kommandozeile, Parent-Prozess und konkrete A1/A2-Handlung werden nicht dokumentiert.</v>
      </c>
    </row>
    <row r="33" spans="1:19" ht="54" customHeight="1">
      <c r="A33" s="4" t="s">
        <v>128</v>
      </c>
      <c r="B33" s="4" t="s">
        <v>236</v>
      </c>
      <c r="C33" s="4" t="s">
        <v>50</v>
      </c>
      <c r="D33" s="4" t="s">
        <v>26</v>
      </c>
      <c r="E33" s="4" t="s">
        <v>20</v>
      </c>
      <c r="F33" s="4" t="s">
        <v>242</v>
      </c>
      <c r="G33" s="4" t="s">
        <v>35</v>
      </c>
      <c r="H33" s="4" t="s">
        <v>76</v>
      </c>
      <c r="I33" s="7">
        <v>46255.499452303244</v>
      </c>
      <c r="J33" s="7">
        <v>46255.582785636572</v>
      </c>
      <c r="K33" s="7">
        <v>46255.582774305556</v>
      </c>
      <c r="L33" s="7">
        <v>46255.582785648148</v>
      </c>
      <c r="M33" s="5">
        <f t="shared" si="0"/>
        <v>1</v>
      </c>
      <c r="N33" s="5">
        <f t="shared" si="1"/>
        <v>2</v>
      </c>
      <c r="O33" s="5">
        <f t="shared" si="2"/>
        <v>2</v>
      </c>
      <c r="P33" s="5">
        <f t="shared" si="3"/>
        <v>1</v>
      </c>
      <c r="Q33" s="5">
        <f t="shared" si="4"/>
        <v>0</v>
      </c>
      <c r="R33" s="5">
        <f t="shared" si="5"/>
        <v>0</v>
      </c>
      <c r="S33" s="4" t="str">
        <f t="shared" si="6"/>
        <v>Run-spezifischer BAM-Befund: Executable-Pfad und ExecutionTime ordnen die Zielkomponente direkt dem Lauf zu; Benutzerkontext liegt über die SID vor. Kommandozeile, Parent-Prozess und konkrete A1/A2-Handlung werden nicht dokumentiert.</v>
      </c>
    </row>
    <row r="34" spans="1:19" ht="54" customHeight="1">
      <c r="A34" s="4" t="s">
        <v>132</v>
      </c>
      <c r="B34" s="4" t="s">
        <v>236</v>
      </c>
      <c r="C34" s="4" t="s">
        <v>50</v>
      </c>
      <c r="D34" s="4" t="s">
        <v>26</v>
      </c>
      <c r="E34" s="4" t="s">
        <v>23</v>
      </c>
      <c r="F34" s="4" t="s">
        <v>242</v>
      </c>
      <c r="G34" s="4" t="s">
        <v>35</v>
      </c>
      <c r="H34" s="4" t="s">
        <v>76</v>
      </c>
      <c r="I34" s="7">
        <v>46255.50270553241</v>
      </c>
      <c r="J34" s="7">
        <v>46255.586038865738</v>
      </c>
      <c r="K34" s="7">
        <v>46255.58602800926</v>
      </c>
      <c r="L34" s="7">
        <v>46255.58603888889</v>
      </c>
      <c r="M34" s="5">
        <f t="shared" ref="M34:M65" si="7">IF(F34="BAM-Treffer im Execution-Zeitraum",1,0)</f>
        <v>1</v>
      </c>
      <c r="N34" s="5">
        <f t="shared" ref="N34:N65" si="8">IF(M34=1,2,"-")</f>
        <v>2</v>
      </c>
      <c r="O34" s="5">
        <f t="shared" ref="O34:O65" si="9">IF(M34=1,2,"-")</f>
        <v>2</v>
      </c>
      <c r="P34" s="5">
        <f t="shared" ref="P34:P65" si="10">IF(M34=1,1,"-")</f>
        <v>1</v>
      </c>
      <c r="Q34" s="5">
        <f t="shared" ref="Q34:Q65" si="11">IF(M34=1,0,"-")</f>
        <v>0</v>
      </c>
      <c r="R34" s="5">
        <f t="shared" ref="R34:R65" si="12">IF(M34=1,0,"-")</f>
        <v>0</v>
      </c>
      <c r="S34" s="4" t="str">
        <f t="shared" ref="S34:S65" si="13">IF(M34=1,"Run-spezifischer BAM-Befund: Executable-Pfad und ExecutionTime ordnen die Zielkomponente direkt dem Lauf zu; Benutzerkontext liegt über die SID vor. Kommandozeile, Parent-Prozess und konkrete A1/A2-Handlung werden nicht dokumentiert.",IF(F34="Kein passender BAM-Eintrag","Kein passender BAM-Eintrag der untersuchten Komponente; daher kein run-spezifischer BAM-Nachweis.",IF(F34="BAM-Eintrag vorhanden, Ausführungszeit nicht im Execution-Zeitraum","BAM-Eintrag vorhanden, die ExecutionTime gehört jedoch nicht zum betrachteten Experimentlauf; daher kein run-spezifischer Nachweis.","BAM-Eintrag vorhanden, aber der Referenzzeitraum des Runs ist in der bereitgestellten RunTabelle nicht verfügbar.")))</f>
        <v>Run-spezifischer BAM-Befund: Executable-Pfad und ExecutionTime ordnen die Zielkomponente direkt dem Lauf zu; Benutzerkontext liegt über die SID vor. Kommandozeile, Parent-Prozess und konkrete A1/A2-Handlung werden nicht dokumentiert.</v>
      </c>
    </row>
    <row r="35" spans="1:19" ht="54" customHeight="1">
      <c r="A35" s="4" t="s">
        <v>136</v>
      </c>
      <c r="B35" s="4" t="s">
        <v>236</v>
      </c>
      <c r="C35" s="4" t="s">
        <v>50</v>
      </c>
      <c r="D35" s="4" t="s">
        <v>33</v>
      </c>
      <c r="E35" s="4" t="s">
        <v>16</v>
      </c>
      <c r="F35" s="4" t="s">
        <v>242</v>
      </c>
      <c r="G35" s="4" t="s">
        <v>35</v>
      </c>
      <c r="H35" s="4" t="s">
        <v>76</v>
      </c>
      <c r="I35" s="7">
        <v>46243.472514884263</v>
      </c>
      <c r="J35" s="7">
        <v>46243.555848217591</v>
      </c>
      <c r="K35" s="7">
        <v>46243.555827083335</v>
      </c>
      <c r="L35" s="7">
        <v>46243.555848379627</v>
      </c>
      <c r="M35" s="5">
        <f t="shared" si="7"/>
        <v>1</v>
      </c>
      <c r="N35" s="5">
        <f t="shared" si="8"/>
        <v>2</v>
      </c>
      <c r="O35" s="5">
        <f t="shared" si="9"/>
        <v>2</v>
      </c>
      <c r="P35" s="5">
        <f t="shared" si="10"/>
        <v>1</v>
      </c>
      <c r="Q35" s="5">
        <f t="shared" si="11"/>
        <v>0</v>
      </c>
      <c r="R35" s="5">
        <f t="shared" si="12"/>
        <v>0</v>
      </c>
      <c r="S35" s="4" t="str">
        <f t="shared" si="13"/>
        <v>Run-spezifischer BAM-Befund: Executable-Pfad und ExecutionTime ordnen die Zielkomponente direkt dem Lauf zu; Benutzerkontext liegt über die SID vor. Kommandozeile, Parent-Prozess und konkrete A1/A2-Handlung werden nicht dokumentiert.</v>
      </c>
    </row>
    <row r="36" spans="1:19" ht="54" customHeight="1">
      <c r="A36" s="4" t="s">
        <v>140</v>
      </c>
      <c r="B36" s="4" t="s">
        <v>236</v>
      </c>
      <c r="C36" s="4" t="s">
        <v>50</v>
      </c>
      <c r="D36" s="4" t="s">
        <v>33</v>
      </c>
      <c r="E36" s="4" t="s">
        <v>20</v>
      </c>
      <c r="F36" s="4" t="s">
        <v>242</v>
      </c>
      <c r="G36" s="4" t="s">
        <v>35</v>
      </c>
      <c r="H36" s="4" t="s">
        <v>76</v>
      </c>
      <c r="I36" s="7">
        <v>46255.654895092594</v>
      </c>
      <c r="J36" s="7">
        <v>46255.738228425929</v>
      </c>
      <c r="K36" s="7">
        <v>46255.738213657409</v>
      </c>
      <c r="L36" s="7">
        <v>46255.738228472219</v>
      </c>
      <c r="M36" s="5">
        <f t="shared" si="7"/>
        <v>1</v>
      </c>
      <c r="N36" s="5">
        <f t="shared" si="8"/>
        <v>2</v>
      </c>
      <c r="O36" s="5">
        <f t="shared" si="9"/>
        <v>2</v>
      </c>
      <c r="P36" s="5">
        <f t="shared" si="10"/>
        <v>1</v>
      </c>
      <c r="Q36" s="5">
        <f t="shared" si="11"/>
        <v>0</v>
      </c>
      <c r="R36" s="5">
        <f t="shared" si="12"/>
        <v>0</v>
      </c>
      <c r="S36" s="4" t="str">
        <f t="shared" si="13"/>
        <v>Run-spezifischer BAM-Befund: Executable-Pfad und ExecutionTime ordnen die Zielkomponente direkt dem Lauf zu; Benutzerkontext liegt über die SID vor. Kommandozeile, Parent-Prozess und konkrete A1/A2-Handlung werden nicht dokumentiert.</v>
      </c>
    </row>
    <row r="37" spans="1:19" ht="54" customHeight="1">
      <c r="A37" s="4" t="s">
        <v>144</v>
      </c>
      <c r="B37" s="4" t="s">
        <v>236</v>
      </c>
      <c r="C37" s="4" t="s">
        <v>50</v>
      </c>
      <c r="D37" s="4" t="s">
        <v>33</v>
      </c>
      <c r="E37" s="4" t="s">
        <v>23</v>
      </c>
      <c r="F37" s="4" t="s">
        <v>242</v>
      </c>
      <c r="G37" s="4" t="s">
        <v>35</v>
      </c>
      <c r="H37" s="4" t="s">
        <v>76</v>
      </c>
      <c r="I37" s="7">
        <v>46255.660795787036</v>
      </c>
      <c r="J37" s="7">
        <v>46255.744129120372</v>
      </c>
      <c r="K37" s="7">
        <v>46255.744115277776</v>
      </c>
      <c r="L37" s="7">
        <v>46255.744129166669</v>
      </c>
      <c r="M37" s="5">
        <f t="shared" si="7"/>
        <v>1</v>
      </c>
      <c r="N37" s="5">
        <f t="shared" si="8"/>
        <v>2</v>
      </c>
      <c r="O37" s="5">
        <f t="shared" si="9"/>
        <v>2</v>
      </c>
      <c r="P37" s="5">
        <f t="shared" si="10"/>
        <v>1</v>
      </c>
      <c r="Q37" s="5">
        <f t="shared" si="11"/>
        <v>0</v>
      </c>
      <c r="R37" s="5">
        <f t="shared" si="12"/>
        <v>0</v>
      </c>
      <c r="S37" s="4" t="str">
        <f t="shared" si="13"/>
        <v>Run-spezifischer BAM-Befund: Executable-Pfad und ExecutionTime ordnen die Zielkomponente direkt dem Lauf zu; Benutzerkontext liegt über die SID vor. Kommandozeile, Parent-Prozess und konkrete A1/A2-Handlung werden nicht dokumentiert.</v>
      </c>
    </row>
    <row r="38" spans="1:19" ht="54" customHeight="1">
      <c r="A38" s="4" t="s">
        <v>148</v>
      </c>
      <c r="B38" s="4" t="s">
        <v>237</v>
      </c>
      <c r="C38" s="4" t="s">
        <v>14</v>
      </c>
      <c r="D38" s="4" t="s">
        <v>15</v>
      </c>
      <c r="E38" s="4" t="s">
        <v>16</v>
      </c>
      <c r="F38" s="4" t="s">
        <v>17</v>
      </c>
      <c r="G38" s="4"/>
      <c r="H38" s="4"/>
      <c r="I38" s="7"/>
      <c r="J38" s="7"/>
      <c r="K38" s="7">
        <v>46255.501518287034</v>
      </c>
      <c r="L38" s="7">
        <v>46255.501519444442</v>
      </c>
      <c r="M38" s="5">
        <f t="shared" si="7"/>
        <v>0</v>
      </c>
      <c r="N38" s="5" t="str">
        <f t="shared" si="8"/>
        <v>-</v>
      </c>
      <c r="O38" s="5" t="str">
        <f t="shared" si="9"/>
        <v>-</v>
      </c>
      <c r="P38" s="5" t="str">
        <f t="shared" si="10"/>
        <v>-</v>
      </c>
      <c r="Q38" s="5" t="str">
        <f t="shared" si="11"/>
        <v>-</v>
      </c>
      <c r="R38" s="5" t="str">
        <f t="shared" si="12"/>
        <v>-</v>
      </c>
      <c r="S38" s="4" t="str">
        <f t="shared" si="13"/>
        <v>Kein passender BAM-Eintrag der untersuchten Komponente; daher kein run-spezifischer BAM-Nachweis.</v>
      </c>
    </row>
    <row r="39" spans="1:19" ht="54" customHeight="1">
      <c r="A39" s="4" t="s">
        <v>151</v>
      </c>
      <c r="B39" s="4" t="s">
        <v>237</v>
      </c>
      <c r="C39" s="4" t="s">
        <v>14</v>
      </c>
      <c r="D39" s="4" t="s">
        <v>15</v>
      </c>
      <c r="E39" s="4" t="s">
        <v>20</v>
      </c>
      <c r="F39" s="4" t="s">
        <v>17</v>
      </c>
      <c r="G39" s="4"/>
      <c r="H39" s="4"/>
      <c r="I39" s="7"/>
      <c r="J39" s="7"/>
      <c r="K39" s="7">
        <v>46255.504985995372</v>
      </c>
      <c r="L39" s="7">
        <v>46255.504987731481</v>
      </c>
      <c r="M39" s="5">
        <f t="shared" si="7"/>
        <v>0</v>
      </c>
      <c r="N39" s="5" t="str">
        <f t="shared" si="8"/>
        <v>-</v>
      </c>
      <c r="O39" s="5" t="str">
        <f t="shared" si="9"/>
        <v>-</v>
      </c>
      <c r="P39" s="5" t="str">
        <f t="shared" si="10"/>
        <v>-</v>
      </c>
      <c r="Q39" s="5" t="str">
        <f t="shared" si="11"/>
        <v>-</v>
      </c>
      <c r="R39" s="5" t="str">
        <f t="shared" si="12"/>
        <v>-</v>
      </c>
      <c r="S39" s="4" t="str">
        <f t="shared" si="13"/>
        <v>Kein passender BAM-Eintrag der untersuchten Komponente; daher kein run-spezifischer BAM-Nachweis.</v>
      </c>
    </row>
    <row r="40" spans="1:19" ht="54" customHeight="1">
      <c r="A40" s="4" t="s">
        <v>153</v>
      </c>
      <c r="B40" s="4" t="s">
        <v>237</v>
      </c>
      <c r="C40" s="4" t="s">
        <v>14</v>
      </c>
      <c r="D40" s="4" t="s">
        <v>15</v>
      </c>
      <c r="E40" s="4" t="s">
        <v>23</v>
      </c>
      <c r="F40" s="4" t="s">
        <v>17</v>
      </c>
      <c r="G40" s="4"/>
      <c r="H40" s="4"/>
      <c r="I40" s="7"/>
      <c r="J40" s="7"/>
      <c r="K40" s="7">
        <v>46255.508027430558</v>
      </c>
      <c r="L40" s="7">
        <v>46255.508029050929</v>
      </c>
      <c r="M40" s="5">
        <f t="shared" si="7"/>
        <v>0</v>
      </c>
      <c r="N40" s="5" t="str">
        <f t="shared" si="8"/>
        <v>-</v>
      </c>
      <c r="O40" s="5" t="str">
        <f t="shared" si="9"/>
        <v>-</v>
      </c>
      <c r="P40" s="5" t="str">
        <f t="shared" si="10"/>
        <v>-</v>
      </c>
      <c r="Q40" s="5" t="str">
        <f t="shared" si="11"/>
        <v>-</v>
      </c>
      <c r="R40" s="5" t="str">
        <f t="shared" si="12"/>
        <v>-</v>
      </c>
      <c r="S40" s="4" t="str">
        <f t="shared" si="13"/>
        <v>Kein passender BAM-Eintrag der untersuchten Komponente; daher kein run-spezifischer BAM-Nachweis.</v>
      </c>
    </row>
    <row r="41" spans="1:19" ht="54" customHeight="1">
      <c r="A41" s="4" t="s">
        <v>155</v>
      </c>
      <c r="B41" s="4" t="s">
        <v>237</v>
      </c>
      <c r="C41" s="4" t="s">
        <v>14</v>
      </c>
      <c r="D41" s="4" t="s">
        <v>26</v>
      </c>
      <c r="E41" s="4" t="s">
        <v>16</v>
      </c>
      <c r="F41" s="4" t="s">
        <v>17</v>
      </c>
      <c r="G41" s="4"/>
      <c r="H41" s="4"/>
      <c r="I41" s="7"/>
      <c r="J41" s="7"/>
      <c r="K41" s="7">
        <v>46255.590613425928</v>
      </c>
      <c r="L41" s="7">
        <v>46255.590615277775</v>
      </c>
      <c r="M41" s="5">
        <f t="shared" si="7"/>
        <v>0</v>
      </c>
      <c r="N41" s="5" t="str">
        <f t="shared" si="8"/>
        <v>-</v>
      </c>
      <c r="O41" s="5" t="str">
        <f t="shared" si="9"/>
        <v>-</v>
      </c>
      <c r="P41" s="5" t="str">
        <f t="shared" si="10"/>
        <v>-</v>
      </c>
      <c r="Q41" s="5" t="str">
        <f t="shared" si="11"/>
        <v>-</v>
      </c>
      <c r="R41" s="5" t="str">
        <f t="shared" si="12"/>
        <v>-</v>
      </c>
      <c r="S41" s="4" t="str">
        <f t="shared" si="13"/>
        <v>Kein passender BAM-Eintrag der untersuchten Komponente; daher kein run-spezifischer BAM-Nachweis.</v>
      </c>
    </row>
    <row r="42" spans="1:19" ht="54" customHeight="1">
      <c r="A42" s="4" t="s">
        <v>157</v>
      </c>
      <c r="B42" s="4" t="s">
        <v>237</v>
      </c>
      <c r="C42" s="4" t="s">
        <v>14</v>
      </c>
      <c r="D42" s="4" t="s">
        <v>26</v>
      </c>
      <c r="E42" s="4" t="s">
        <v>20</v>
      </c>
      <c r="F42" s="4" t="s">
        <v>17</v>
      </c>
      <c r="G42" s="4"/>
      <c r="H42" s="4"/>
      <c r="I42" s="7"/>
      <c r="J42" s="7"/>
      <c r="K42" s="7">
        <v>46255.594789583331</v>
      </c>
      <c r="L42" s="7">
        <v>46255.594791435185</v>
      </c>
      <c r="M42" s="5">
        <f t="shared" si="7"/>
        <v>0</v>
      </c>
      <c r="N42" s="5" t="str">
        <f t="shared" si="8"/>
        <v>-</v>
      </c>
      <c r="O42" s="5" t="str">
        <f t="shared" si="9"/>
        <v>-</v>
      </c>
      <c r="P42" s="5" t="str">
        <f t="shared" si="10"/>
        <v>-</v>
      </c>
      <c r="Q42" s="5" t="str">
        <f t="shared" si="11"/>
        <v>-</v>
      </c>
      <c r="R42" s="5" t="str">
        <f t="shared" si="12"/>
        <v>-</v>
      </c>
      <c r="S42" s="4" t="str">
        <f t="shared" si="13"/>
        <v>Kein passender BAM-Eintrag der untersuchten Komponente; daher kein run-spezifischer BAM-Nachweis.</v>
      </c>
    </row>
    <row r="43" spans="1:19" ht="54" customHeight="1">
      <c r="A43" s="4" t="s">
        <v>159</v>
      </c>
      <c r="B43" s="4" t="s">
        <v>237</v>
      </c>
      <c r="C43" s="4" t="s">
        <v>14</v>
      </c>
      <c r="D43" s="4" t="s">
        <v>26</v>
      </c>
      <c r="E43" s="4" t="s">
        <v>23</v>
      </c>
      <c r="F43" s="4" t="s">
        <v>17</v>
      </c>
      <c r="G43" s="4"/>
      <c r="H43" s="4"/>
      <c r="I43" s="7"/>
      <c r="J43" s="7"/>
      <c r="K43" s="7">
        <v>46255.597765162034</v>
      </c>
      <c r="L43" s="7">
        <v>46255.59776689815</v>
      </c>
      <c r="M43" s="5">
        <f t="shared" si="7"/>
        <v>0</v>
      </c>
      <c r="N43" s="5" t="str">
        <f t="shared" si="8"/>
        <v>-</v>
      </c>
      <c r="O43" s="5" t="str">
        <f t="shared" si="9"/>
        <v>-</v>
      </c>
      <c r="P43" s="5" t="str">
        <f t="shared" si="10"/>
        <v>-</v>
      </c>
      <c r="Q43" s="5" t="str">
        <f t="shared" si="11"/>
        <v>-</v>
      </c>
      <c r="R43" s="5" t="str">
        <f t="shared" si="12"/>
        <v>-</v>
      </c>
      <c r="S43" s="4" t="str">
        <f t="shared" si="13"/>
        <v>Kein passender BAM-Eintrag der untersuchten Komponente; daher kein run-spezifischer BAM-Nachweis.</v>
      </c>
    </row>
    <row r="44" spans="1:19" ht="54" customHeight="1">
      <c r="A44" s="4" t="s">
        <v>161</v>
      </c>
      <c r="B44" s="4" t="s">
        <v>237</v>
      </c>
      <c r="C44" s="4" t="s">
        <v>14</v>
      </c>
      <c r="D44" s="4" t="s">
        <v>33</v>
      </c>
      <c r="E44" s="4" t="s">
        <v>16</v>
      </c>
      <c r="F44" s="4" t="s">
        <v>17</v>
      </c>
      <c r="G44" s="4"/>
      <c r="H44" s="4"/>
      <c r="I44" s="7"/>
      <c r="J44" s="7"/>
      <c r="K44" s="7">
        <v>46255.749895717592</v>
      </c>
      <c r="L44" s="7">
        <v>46255.74989861111</v>
      </c>
      <c r="M44" s="5">
        <f t="shared" si="7"/>
        <v>0</v>
      </c>
      <c r="N44" s="5" t="str">
        <f t="shared" si="8"/>
        <v>-</v>
      </c>
      <c r="O44" s="5" t="str">
        <f t="shared" si="9"/>
        <v>-</v>
      </c>
      <c r="P44" s="5" t="str">
        <f t="shared" si="10"/>
        <v>-</v>
      </c>
      <c r="Q44" s="5" t="str">
        <f t="shared" si="11"/>
        <v>-</v>
      </c>
      <c r="R44" s="5" t="str">
        <f t="shared" si="12"/>
        <v>-</v>
      </c>
      <c r="S44" s="4" t="str">
        <f t="shared" si="13"/>
        <v>Kein passender BAM-Eintrag der untersuchten Komponente; daher kein run-spezifischer BAM-Nachweis.</v>
      </c>
    </row>
    <row r="45" spans="1:19" ht="54" customHeight="1">
      <c r="A45" s="4" t="s">
        <v>163</v>
      </c>
      <c r="B45" s="4" t="s">
        <v>237</v>
      </c>
      <c r="C45" s="4" t="s">
        <v>14</v>
      </c>
      <c r="D45" s="4" t="s">
        <v>33</v>
      </c>
      <c r="E45" s="4" t="s">
        <v>20</v>
      </c>
      <c r="F45" s="4" t="s">
        <v>17</v>
      </c>
      <c r="G45" s="4"/>
      <c r="H45" s="4"/>
      <c r="I45" s="7"/>
      <c r="J45" s="7"/>
      <c r="K45" s="7">
        <v>46255.754800462964</v>
      </c>
      <c r="L45" s="7">
        <v>46255.754805324075</v>
      </c>
      <c r="M45" s="5">
        <f t="shared" si="7"/>
        <v>0</v>
      </c>
      <c r="N45" s="5" t="str">
        <f t="shared" si="8"/>
        <v>-</v>
      </c>
      <c r="O45" s="5" t="str">
        <f t="shared" si="9"/>
        <v>-</v>
      </c>
      <c r="P45" s="5" t="str">
        <f t="shared" si="10"/>
        <v>-</v>
      </c>
      <c r="Q45" s="5" t="str">
        <f t="shared" si="11"/>
        <v>-</v>
      </c>
      <c r="R45" s="5" t="str">
        <f t="shared" si="12"/>
        <v>-</v>
      </c>
      <c r="S45" s="4" t="str">
        <f t="shared" si="13"/>
        <v>Kein passender BAM-Eintrag der untersuchten Komponente; daher kein run-spezifischer BAM-Nachweis.</v>
      </c>
    </row>
    <row r="46" spans="1:19" ht="54" customHeight="1">
      <c r="A46" s="4" t="s">
        <v>165</v>
      </c>
      <c r="B46" s="4" t="s">
        <v>237</v>
      </c>
      <c r="C46" s="4" t="s">
        <v>14</v>
      </c>
      <c r="D46" s="4" t="s">
        <v>33</v>
      </c>
      <c r="E46" s="4" t="s">
        <v>23</v>
      </c>
      <c r="F46" s="4" t="s">
        <v>17</v>
      </c>
      <c r="G46" s="4"/>
      <c r="H46" s="4"/>
      <c r="I46" s="7"/>
      <c r="J46" s="7"/>
      <c r="K46" s="7">
        <v>46255.759315856485</v>
      </c>
      <c r="L46" s="7">
        <v>46255.759319560188</v>
      </c>
      <c r="M46" s="5">
        <f t="shared" si="7"/>
        <v>0</v>
      </c>
      <c r="N46" s="5" t="str">
        <f t="shared" si="8"/>
        <v>-</v>
      </c>
      <c r="O46" s="5" t="str">
        <f t="shared" si="9"/>
        <v>-</v>
      </c>
      <c r="P46" s="5" t="str">
        <f t="shared" si="10"/>
        <v>-</v>
      </c>
      <c r="Q46" s="5" t="str">
        <f t="shared" si="11"/>
        <v>-</v>
      </c>
      <c r="R46" s="5" t="str">
        <f t="shared" si="12"/>
        <v>-</v>
      </c>
      <c r="S46" s="4" t="str">
        <f t="shared" si="13"/>
        <v>Kein passender BAM-Eintrag der untersuchten Komponente; daher kein run-spezifischer BAM-Nachweis.</v>
      </c>
    </row>
    <row r="47" spans="1:19" ht="54" customHeight="1">
      <c r="A47" s="4" t="s">
        <v>167</v>
      </c>
      <c r="B47" s="4" t="s">
        <v>237</v>
      </c>
      <c r="C47" s="4" t="s">
        <v>50</v>
      </c>
      <c r="D47" s="4" t="s">
        <v>15</v>
      </c>
      <c r="E47" s="4" t="s">
        <v>16</v>
      </c>
      <c r="F47" s="4" t="s">
        <v>17</v>
      </c>
      <c r="G47" s="4"/>
      <c r="H47" s="4"/>
      <c r="I47" s="7"/>
      <c r="J47" s="7"/>
      <c r="K47" s="7">
        <v>46255.511734490741</v>
      </c>
      <c r="L47" s="7">
        <v>46255.511739236113</v>
      </c>
      <c r="M47" s="5">
        <f t="shared" si="7"/>
        <v>0</v>
      </c>
      <c r="N47" s="5" t="str">
        <f t="shared" si="8"/>
        <v>-</v>
      </c>
      <c r="O47" s="5" t="str">
        <f t="shared" si="9"/>
        <v>-</v>
      </c>
      <c r="P47" s="5" t="str">
        <f t="shared" si="10"/>
        <v>-</v>
      </c>
      <c r="Q47" s="5" t="str">
        <f t="shared" si="11"/>
        <v>-</v>
      </c>
      <c r="R47" s="5" t="str">
        <f t="shared" si="12"/>
        <v>-</v>
      </c>
      <c r="S47" s="4" t="str">
        <f t="shared" si="13"/>
        <v>Kein passender BAM-Eintrag der untersuchten Komponente; daher kein run-spezifischer BAM-Nachweis.</v>
      </c>
    </row>
    <row r="48" spans="1:19" ht="54" customHeight="1">
      <c r="A48" s="4" t="s">
        <v>169</v>
      </c>
      <c r="B48" s="4" t="s">
        <v>237</v>
      </c>
      <c r="C48" s="4" t="s">
        <v>50</v>
      </c>
      <c r="D48" s="4" t="s">
        <v>15</v>
      </c>
      <c r="E48" s="4" t="s">
        <v>20</v>
      </c>
      <c r="F48" s="4" t="s">
        <v>17</v>
      </c>
      <c r="G48" s="4"/>
      <c r="H48" s="4"/>
      <c r="I48" s="7"/>
      <c r="J48" s="7"/>
      <c r="K48" s="7">
        <v>46255.515381249999</v>
      </c>
      <c r="L48" s="7">
        <v>46255.51538611111</v>
      </c>
      <c r="M48" s="5">
        <f t="shared" si="7"/>
        <v>0</v>
      </c>
      <c r="N48" s="5" t="str">
        <f t="shared" si="8"/>
        <v>-</v>
      </c>
      <c r="O48" s="5" t="str">
        <f t="shared" si="9"/>
        <v>-</v>
      </c>
      <c r="P48" s="5" t="str">
        <f t="shared" si="10"/>
        <v>-</v>
      </c>
      <c r="Q48" s="5" t="str">
        <f t="shared" si="11"/>
        <v>-</v>
      </c>
      <c r="R48" s="5" t="str">
        <f t="shared" si="12"/>
        <v>-</v>
      </c>
      <c r="S48" s="4" t="str">
        <f t="shared" si="13"/>
        <v>Kein passender BAM-Eintrag der untersuchten Komponente; daher kein run-spezifischer BAM-Nachweis.</v>
      </c>
    </row>
    <row r="49" spans="1:19" ht="54" customHeight="1">
      <c r="A49" s="4" t="s">
        <v>171</v>
      </c>
      <c r="B49" s="4" t="s">
        <v>237</v>
      </c>
      <c r="C49" s="4" t="s">
        <v>50</v>
      </c>
      <c r="D49" s="4" t="s">
        <v>15</v>
      </c>
      <c r="E49" s="4" t="s">
        <v>23</v>
      </c>
      <c r="F49" s="4" t="s">
        <v>17</v>
      </c>
      <c r="G49" s="4"/>
      <c r="H49" s="4"/>
      <c r="I49" s="7"/>
      <c r="J49" s="7"/>
      <c r="K49" s="7">
        <v>46255.518324999997</v>
      </c>
      <c r="L49" s="7">
        <v>46255.518331481479</v>
      </c>
      <c r="M49" s="5">
        <f t="shared" si="7"/>
        <v>0</v>
      </c>
      <c r="N49" s="5" t="str">
        <f t="shared" si="8"/>
        <v>-</v>
      </c>
      <c r="O49" s="5" t="str">
        <f t="shared" si="9"/>
        <v>-</v>
      </c>
      <c r="P49" s="5" t="str">
        <f t="shared" si="10"/>
        <v>-</v>
      </c>
      <c r="Q49" s="5" t="str">
        <f t="shared" si="11"/>
        <v>-</v>
      </c>
      <c r="R49" s="5" t="str">
        <f t="shared" si="12"/>
        <v>-</v>
      </c>
      <c r="S49" s="4" t="str">
        <f t="shared" si="13"/>
        <v>Kein passender BAM-Eintrag der untersuchten Komponente; daher kein run-spezifischer BAM-Nachweis.</v>
      </c>
    </row>
    <row r="50" spans="1:19" ht="54" customHeight="1">
      <c r="A50" s="4" t="s">
        <v>173</v>
      </c>
      <c r="B50" s="4" t="s">
        <v>237</v>
      </c>
      <c r="C50" s="4" t="s">
        <v>50</v>
      </c>
      <c r="D50" s="4" t="s">
        <v>26</v>
      </c>
      <c r="E50" s="4" t="s">
        <v>16</v>
      </c>
      <c r="F50" s="4" t="s">
        <v>17</v>
      </c>
      <c r="G50" s="4"/>
      <c r="H50" s="4"/>
      <c r="I50" s="7"/>
      <c r="J50" s="7"/>
      <c r="K50" s="7">
        <v>46255.60116215278</v>
      </c>
      <c r="L50" s="7">
        <v>46255.601167592591</v>
      </c>
      <c r="M50" s="5">
        <f t="shared" si="7"/>
        <v>0</v>
      </c>
      <c r="N50" s="5" t="str">
        <f t="shared" si="8"/>
        <v>-</v>
      </c>
      <c r="O50" s="5" t="str">
        <f t="shared" si="9"/>
        <v>-</v>
      </c>
      <c r="P50" s="5" t="str">
        <f t="shared" si="10"/>
        <v>-</v>
      </c>
      <c r="Q50" s="5" t="str">
        <f t="shared" si="11"/>
        <v>-</v>
      </c>
      <c r="R50" s="5" t="str">
        <f t="shared" si="12"/>
        <v>-</v>
      </c>
      <c r="S50" s="4" t="str">
        <f t="shared" si="13"/>
        <v>Kein passender BAM-Eintrag der untersuchten Komponente; daher kein run-spezifischer BAM-Nachweis.</v>
      </c>
    </row>
    <row r="51" spans="1:19" ht="54" customHeight="1">
      <c r="A51" s="4" t="s">
        <v>175</v>
      </c>
      <c r="B51" s="4" t="s">
        <v>237</v>
      </c>
      <c r="C51" s="4" t="s">
        <v>50</v>
      </c>
      <c r="D51" s="4" t="s">
        <v>26</v>
      </c>
      <c r="E51" s="4" t="s">
        <v>20</v>
      </c>
      <c r="F51" s="4" t="s">
        <v>17</v>
      </c>
      <c r="G51" s="4"/>
      <c r="H51" s="4"/>
      <c r="I51" s="7"/>
      <c r="J51" s="7"/>
      <c r="K51" s="7">
        <v>46255.60411064815</v>
      </c>
      <c r="L51" s="7">
        <v>46255.604114583337</v>
      </c>
      <c r="M51" s="5">
        <f t="shared" si="7"/>
        <v>0</v>
      </c>
      <c r="N51" s="5" t="str">
        <f t="shared" si="8"/>
        <v>-</v>
      </c>
      <c r="O51" s="5" t="str">
        <f t="shared" si="9"/>
        <v>-</v>
      </c>
      <c r="P51" s="5" t="str">
        <f t="shared" si="10"/>
        <v>-</v>
      </c>
      <c r="Q51" s="5" t="str">
        <f t="shared" si="11"/>
        <v>-</v>
      </c>
      <c r="R51" s="5" t="str">
        <f t="shared" si="12"/>
        <v>-</v>
      </c>
      <c r="S51" s="4" t="str">
        <f t="shared" si="13"/>
        <v>Kein passender BAM-Eintrag der untersuchten Komponente; daher kein run-spezifischer BAM-Nachweis.</v>
      </c>
    </row>
    <row r="52" spans="1:19" ht="54" customHeight="1">
      <c r="A52" s="4" t="s">
        <v>177</v>
      </c>
      <c r="B52" s="4" t="s">
        <v>237</v>
      </c>
      <c r="C52" s="4" t="s">
        <v>50</v>
      </c>
      <c r="D52" s="4" t="s">
        <v>26</v>
      </c>
      <c r="E52" s="4" t="s">
        <v>23</v>
      </c>
      <c r="F52" s="4" t="s">
        <v>17</v>
      </c>
      <c r="G52" s="4"/>
      <c r="H52" s="4"/>
      <c r="I52" s="7"/>
      <c r="J52" s="7"/>
      <c r="K52" s="7">
        <v>46255.607535532406</v>
      </c>
      <c r="L52" s="7">
        <v>46255.607540856479</v>
      </c>
      <c r="M52" s="5">
        <f t="shared" si="7"/>
        <v>0</v>
      </c>
      <c r="N52" s="5" t="str">
        <f t="shared" si="8"/>
        <v>-</v>
      </c>
      <c r="O52" s="5" t="str">
        <f t="shared" si="9"/>
        <v>-</v>
      </c>
      <c r="P52" s="5" t="str">
        <f t="shared" si="10"/>
        <v>-</v>
      </c>
      <c r="Q52" s="5" t="str">
        <f t="shared" si="11"/>
        <v>-</v>
      </c>
      <c r="R52" s="5" t="str">
        <f t="shared" si="12"/>
        <v>-</v>
      </c>
      <c r="S52" s="4" t="str">
        <f t="shared" si="13"/>
        <v>Kein passender BAM-Eintrag der untersuchten Komponente; daher kein run-spezifischer BAM-Nachweis.</v>
      </c>
    </row>
    <row r="53" spans="1:19" ht="54" customHeight="1">
      <c r="A53" s="4" t="s">
        <v>179</v>
      </c>
      <c r="B53" s="4" t="s">
        <v>237</v>
      </c>
      <c r="C53" s="4" t="s">
        <v>50</v>
      </c>
      <c r="D53" s="4" t="s">
        <v>33</v>
      </c>
      <c r="E53" s="4" t="s">
        <v>16</v>
      </c>
      <c r="F53" s="4" t="s">
        <v>17</v>
      </c>
      <c r="G53" s="4"/>
      <c r="H53" s="4"/>
      <c r="I53" s="7"/>
      <c r="J53" s="7"/>
      <c r="K53" s="7">
        <v>46255.765503472219</v>
      </c>
      <c r="L53" s="7">
        <v>46255.765511689817</v>
      </c>
      <c r="M53" s="5">
        <f t="shared" si="7"/>
        <v>0</v>
      </c>
      <c r="N53" s="5" t="str">
        <f t="shared" si="8"/>
        <v>-</v>
      </c>
      <c r="O53" s="5" t="str">
        <f t="shared" si="9"/>
        <v>-</v>
      </c>
      <c r="P53" s="5" t="str">
        <f t="shared" si="10"/>
        <v>-</v>
      </c>
      <c r="Q53" s="5" t="str">
        <f t="shared" si="11"/>
        <v>-</v>
      </c>
      <c r="R53" s="5" t="str">
        <f t="shared" si="12"/>
        <v>-</v>
      </c>
      <c r="S53" s="4" t="str">
        <f t="shared" si="13"/>
        <v>Kein passender BAM-Eintrag der untersuchten Komponente; daher kein run-spezifischer BAM-Nachweis.</v>
      </c>
    </row>
    <row r="54" spans="1:19" ht="54" customHeight="1">
      <c r="A54" s="4" t="s">
        <v>181</v>
      </c>
      <c r="B54" s="4" t="s">
        <v>237</v>
      </c>
      <c r="C54" s="4" t="s">
        <v>50</v>
      </c>
      <c r="D54" s="4" t="s">
        <v>33</v>
      </c>
      <c r="E54" s="4" t="s">
        <v>20</v>
      </c>
      <c r="F54" s="4" t="s">
        <v>17</v>
      </c>
      <c r="G54" s="4"/>
      <c r="H54" s="4"/>
      <c r="I54" s="7"/>
      <c r="J54" s="7"/>
      <c r="K54" s="7">
        <v>46255.770385300922</v>
      </c>
      <c r="L54" s="7">
        <v>46255.770392824073</v>
      </c>
      <c r="M54" s="5">
        <f t="shared" si="7"/>
        <v>0</v>
      </c>
      <c r="N54" s="5" t="str">
        <f t="shared" si="8"/>
        <v>-</v>
      </c>
      <c r="O54" s="5" t="str">
        <f t="shared" si="9"/>
        <v>-</v>
      </c>
      <c r="P54" s="5" t="str">
        <f t="shared" si="10"/>
        <v>-</v>
      </c>
      <c r="Q54" s="5" t="str">
        <f t="shared" si="11"/>
        <v>-</v>
      </c>
      <c r="R54" s="5" t="str">
        <f t="shared" si="12"/>
        <v>-</v>
      </c>
      <c r="S54" s="4" t="str">
        <f t="shared" si="13"/>
        <v>Kein passender BAM-Eintrag der untersuchten Komponente; daher kein run-spezifischer BAM-Nachweis.</v>
      </c>
    </row>
    <row r="55" spans="1:19" ht="54" customHeight="1">
      <c r="A55" s="4" t="s">
        <v>183</v>
      </c>
      <c r="B55" s="4" t="s">
        <v>237</v>
      </c>
      <c r="C55" s="4" t="s">
        <v>50</v>
      </c>
      <c r="D55" s="4" t="s">
        <v>33</v>
      </c>
      <c r="E55" s="4" t="s">
        <v>23</v>
      </c>
      <c r="F55" s="4" t="s">
        <v>17</v>
      </c>
      <c r="G55" s="4"/>
      <c r="H55" s="4"/>
      <c r="I55" s="7"/>
      <c r="J55" s="7"/>
      <c r="K55" s="7">
        <v>46255.775032754631</v>
      </c>
      <c r="L55" s="7">
        <v>46255.775040509259</v>
      </c>
      <c r="M55" s="5">
        <f t="shared" si="7"/>
        <v>0</v>
      </c>
      <c r="N55" s="5" t="str">
        <f t="shared" si="8"/>
        <v>-</v>
      </c>
      <c r="O55" s="5" t="str">
        <f t="shared" si="9"/>
        <v>-</v>
      </c>
      <c r="P55" s="5" t="str">
        <f t="shared" si="10"/>
        <v>-</v>
      </c>
      <c r="Q55" s="5" t="str">
        <f t="shared" si="11"/>
        <v>-</v>
      </c>
      <c r="R55" s="5" t="str">
        <f t="shared" si="12"/>
        <v>-</v>
      </c>
      <c r="S55" s="4" t="str">
        <f t="shared" si="13"/>
        <v>Kein passender BAM-Eintrag der untersuchten Komponente; daher kein run-spezifischer BAM-Nachweis.</v>
      </c>
    </row>
    <row r="56" spans="1:19" ht="54" customHeight="1">
      <c r="A56" s="4" t="s">
        <v>185</v>
      </c>
      <c r="B56" s="4" t="s">
        <v>238</v>
      </c>
      <c r="C56" s="4" t="s">
        <v>14</v>
      </c>
      <c r="D56" s="4" t="s">
        <v>15</v>
      </c>
      <c r="E56" s="4" t="s">
        <v>16</v>
      </c>
      <c r="F56" s="4" t="s">
        <v>17</v>
      </c>
      <c r="G56" s="4"/>
      <c r="H56" s="4"/>
      <c r="I56" s="7"/>
      <c r="J56" s="7"/>
      <c r="K56" s="7">
        <v>46255.523710648151</v>
      </c>
      <c r="L56" s="7">
        <v>46255.523712152775</v>
      </c>
      <c r="M56" s="5">
        <f t="shared" si="7"/>
        <v>0</v>
      </c>
      <c r="N56" s="5" t="str">
        <f t="shared" si="8"/>
        <v>-</v>
      </c>
      <c r="O56" s="5" t="str">
        <f t="shared" si="9"/>
        <v>-</v>
      </c>
      <c r="P56" s="5" t="str">
        <f t="shared" si="10"/>
        <v>-</v>
      </c>
      <c r="Q56" s="5" t="str">
        <f t="shared" si="11"/>
        <v>-</v>
      </c>
      <c r="R56" s="5" t="str">
        <f t="shared" si="12"/>
        <v>-</v>
      </c>
      <c r="S56" s="4" t="str">
        <f t="shared" si="13"/>
        <v>Kein passender BAM-Eintrag der untersuchten Komponente; daher kein run-spezifischer BAM-Nachweis.</v>
      </c>
    </row>
    <row r="57" spans="1:19" ht="54" customHeight="1">
      <c r="A57" s="4" t="s">
        <v>188</v>
      </c>
      <c r="B57" s="4" t="s">
        <v>238</v>
      </c>
      <c r="C57" s="4" t="s">
        <v>14</v>
      </c>
      <c r="D57" s="4" t="s">
        <v>15</v>
      </c>
      <c r="E57" s="4" t="s">
        <v>20</v>
      </c>
      <c r="F57" s="4" t="s">
        <v>17</v>
      </c>
      <c r="G57" s="4"/>
      <c r="H57" s="4"/>
      <c r="I57" s="7"/>
      <c r="J57" s="7"/>
      <c r="K57" s="7">
        <v>46255.527048611111</v>
      </c>
      <c r="L57" s="7">
        <v>46255.527054513892</v>
      </c>
      <c r="M57" s="5">
        <f t="shared" si="7"/>
        <v>0</v>
      </c>
      <c r="N57" s="5" t="str">
        <f t="shared" si="8"/>
        <v>-</v>
      </c>
      <c r="O57" s="5" t="str">
        <f t="shared" si="9"/>
        <v>-</v>
      </c>
      <c r="P57" s="5" t="str">
        <f t="shared" si="10"/>
        <v>-</v>
      </c>
      <c r="Q57" s="5" t="str">
        <f t="shared" si="11"/>
        <v>-</v>
      </c>
      <c r="R57" s="5" t="str">
        <f t="shared" si="12"/>
        <v>-</v>
      </c>
      <c r="S57" s="4" t="str">
        <f t="shared" si="13"/>
        <v>Kein passender BAM-Eintrag der untersuchten Komponente; daher kein run-spezifischer BAM-Nachweis.</v>
      </c>
    </row>
    <row r="58" spans="1:19" ht="54" customHeight="1">
      <c r="A58" s="4" t="s">
        <v>190</v>
      </c>
      <c r="B58" s="4" t="s">
        <v>238</v>
      </c>
      <c r="C58" s="4" t="s">
        <v>14</v>
      </c>
      <c r="D58" s="4" t="s">
        <v>15</v>
      </c>
      <c r="E58" s="4" t="s">
        <v>23</v>
      </c>
      <c r="F58" s="4" t="s">
        <v>17</v>
      </c>
      <c r="G58" s="4"/>
      <c r="H58" s="4"/>
      <c r="I58" s="7"/>
      <c r="J58" s="7"/>
      <c r="K58" s="7">
        <v>46255.530120370371</v>
      </c>
      <c r="L58" s="7">
        <v>46255.530121759257</v>
      </c>
      <c r="M58" s="5">
        <f t="shared" si="7"/>
        <v>0</v>
      </c>
      <c r="N58" s="5" t="str">
        <f t="shared" si="8"/>
        <v>-</v>
      </c>
      <c r="O58" s="5" t="str">
        <f t="shared" si="9"/>
        <v>-</v>
      </c>
      <c r="P58" s="5" t="str">
        <f t="shared" si="10"/>
        <v>-</v>
      </c>
      <c r="Q58" s="5" t="str">
        <f t="shared" si="11"/>
        <v>-</v>
      </c>
      <c r="R58" s="5" t="str">
        <f t="shared" si="12"/>
        <v>-</v>
      </c>
      <c r="S58" s="4" t="str">
        <f t="shared" si="13"/>
        <v>Kein passender BAM-Eintrag der untersuchten Komponente; daher kein run-spezifischer BAM-Nachweis.</v>
      </c>
    </row>
    <row r="59" spans="1:19" ht="54" customHeight="1">
      <c r="A59" s="4" t="s">
        <v>192</v>
      </c>
      <c r="B59" s="4" t="s">
        <v>238</v>
      </c>
      <c r="C59" s="4" t="s">
        <v>14</v>
      </c>
      <c r="D59" s="4" t="s">
        <v>26</v>
      </c>
      <c r="E59" s="4" t="s">
        <v>16</v>
      </c>
      <c r="F59" s="4" t="s">
        <v>17</v>
      </c>
      <c r="G59" s="4"/>
      <c r="H59" s="4"/>
      <c r="I59" s="7"/>
      <c r="J59" s="7"/>
      <c r="K59" s="7">
        <v>46255.611343171295</v>
      </c>
      <c r="L59" s="7">
        <v>46255.611345138888</v>
      </c>
      <c r="M59" s="5">
        <f t="shared" si="7"/>
        <v>0</v>
      </c>
      <c r="N59" s="5" t="str">
        <f t="shared" si="8"/>
        <v>-</v>
      </c>
      <c r="O59" s="5" t="str">
        <f t="shared" si="9"/>
        <v>-</v>
      </c>
      <c r="P59" s="5" t="str">
        <f t="shared" si="10"/>
        <v>-</v>
      </c>
      <c r="Q59" s="5" t="str">
        <f t="shared" si="11"/>
        <v>-</v>
      </c>
      <c r="R59" s="5" t="str">
        <f t="shared" si="12"/>
        <v>-</v>
      </c>
      <c r="S59" s="4" t="str">
        <f t="shared" si="13"/>
        <v>Kein passender BAM-Eintrag der untersuchten Komponente; daher kein run-spezifischer BAM-Nachweis.</v>
      </c>
    </row>
    <row r="60" spans="1:19" ht="54" customHeight="1">
      <c r="A60" s="4" t="s">
        <v>194</v>
      </c>
      <c r="B60" s="4" t="s">
        <v>238</v>
      </c>
      <c r="C60" s="4" t="s">
        <v>14</v>
      </c>
      <c r="D60" s="4" t="s">
        <v>26</v>
      </c>
      <c r="E60" s="4" t="s">
        <v>20</v>
      </c>
      <c r="F60" s="4" t="s">
        <v>17</v>
      </c>
      <c r="G60" s="4"/>
      <c r="H60" s="4"/>
      <c r="I60" s="7"/>
      <c r="J60" s="7"/>
      <c r="K60" s="7">
        <v>46255.614805555553</v>
      </c>
      <c r="L60" s="7">
        <v>46255.614807291669</v>
      </c>
      <c r="M60" s="5">
        <f t="shared" si="7"/>
        <v>0</v>
      </c>
      <c r="N60" s="5" t="str">
        <f t="shared" si="8"/>
        <v>-</v>
      </c>
      <c r="O60" s="5" t="str">
        <f t="shared" si="9"/>
        <v>-</v>
      </c>
      <c r="P60" s="5" t="str">
        <f t="shared" si="10"/>
        <v>-</v>
      </c>
      <c r="Q60" s="5" t="str">
        <f t="shared" si="11"/>
        <v>-</v>
      </c>
      <c r="R60" s="5" t="str">
        <f t="shared" si="12"/>
        <v>-</v>
      </c>
      <c r="S60" s="4" t="str">
        <f t="shared" si="13"/>
        <v>Kein passender BAM-Eintrag der untersuchten Komponente; daher kein run-spezifischer BAM-Nachweis.</v>
      </c>
    </row>
    <row r="61" spans="1:19" ht="54" customHeight="1">
      <c r="A61" s="4" t="s">
        <v>196</v>
      </c>
      <c r="B61" s="4" t="s">
        <v>238</v>
      </c>
      <c r="C61" s="4" t="s">
        <v>14</v>
      </c>
      <c r="D61" s="4" t="s">
        <v>26</v>
      </c>
      <c r="E61" s="4" t="s">
        <v>23</v>
      </c>
      <c r="F61" s="4" t="s">
        <v>17</v>
      </c>
      <c r="G61" s="4"/>
      <c r="H61" s="4"/>
      <c r="I61" s="7"/>
      <c r="J61" s="7"/>
      <c r="K61" s="7">
        <v>46255.61805902778</v>
      </c>
      <c r="L61" s="7">
        <v>46255.61806064815</v>
      </c>
      <c r="M61" s="5">
        <f t="shared" si="7"/>
        <v>0</v>
      </c>
      <c r="N61" s="5" t="str">
        <f t="shared" si="8"/>
        <v>-</v>
      </c>
      <c r="O61" s="5" t="str">
        <f t="shared" si="9"/>
        <v>-</v>
      </c>
      <c r="P61" s="5" t="str">
        <f t="shared" si="10"/>
        <v>-</v>
      </c>
      <c r="Q61" s="5" t="str">
        <f t="shared" si="11"/>
        <v>-</v>
      </c>
      <c r="R61" s="5" t="str">
        <f t="shared" si="12"/>
        <v>-</v>
      </c>
      <c r="S61" s="4" t="str">
        <f t="shared" si="13"/>
        <v>Kein passender BAM-Eintrag der untersuchten Komponente; daher kein run-spezifischer BAM-Nachweis.</v>
      </c>
    </row>
    <row r="62" spans="1:19" ht="54" customHeight="1">
      <c r="A62" s="4" t="s">
        <v>198</v>
      </c>
      <c r="B62" s="4" t="s">
        <v>238</v>
      </c>
      <c r="C62" s="4" t="s">
        <v>14</v>
      </c>
      <c r="D62" s="4" t="s">
        <v>33</v>
      </c>
      <c r="E62" s="4" t="s">
        <v>16</v>
      </c>
      <c r="F62" s="4" t="s">
        <v>17</v>
      </c>
      <c r="G62" s="4"/>
      <c r="H62" s="4"/>
      <c r="I62" s="7"/>
      <c r="J62" s="7"/>
      <c r="K62" s="7">
        <v>46255.787136226849</v>
      </c>
      <c r="L62" s="7">
        <v>46255.78713877315</v>
      </c>
      <c r="M62" s="5">
        <f t="shared" si="7"/>
        <v>0</v>
      </c>
      <c r="N62" s="5" t="str">
        <f t="shared" si="8"/>
        <v>-</v>
      </c>
      <c r="O62" s="5" t="str">
        <f t="shared" si="9"/>
        <v>-</v>
      </c>
      <c r="P62" s="5" t="str">
        <f t="shared" si="10"/>
        <v>-</v>
      </c>
      <c r="Q62" s="5" t="str">
        <f t="shared" si="11"/>
        <v>-</v>
      </c>
      <c r="R62" s="5" t="str">
        <f t="shared" si="12"/>
        <v>-</v>
      </c>
      <c r="S62" s="4" t="str">
        <f t="shared" si="13"/>
        <v>Kein passender BAM-Eintrag der untersuchten Komponente; daher kein run-spezifischer BAM-Nachweis.</v>
      </c>
    </row>
    <row r="63" spans="1:19" ht="54" customHeight="1">
      <c r="A63" s="4" t="s">
        <v>200</v>
      </c>
      <c r="B63" s="4" t="s">
        <v>238</v>
      </c>
      <c r="C63" s="4" t="s">
        <v>14</v>
      </c>
      <c r="D63" s="4" t="s">
        <v>33</v>
      </c>
      <c r="E63" s="4" t="s">
        <v>20</v>
      </c>
      <c r="F63" s="4" t="s">
        <v>17</v>
      </c>
      <c r="G63" s="4"/>
      <c r="H63" s="4"/>
      <c r="I63" s="7"/>
      <c r="J63" s="7"/>
      <c r="K63" s="7">
        <v>46255.792958912039</v>
      </c>
      <c r="L63" s="7">
        <v>46255.792962500003</v>
      </c>
      <c r="M63" s="5">
        <f t="shared" si="7"/>
        <v>0</v>
      </c>
      <c r="N63" s="5" t="str">
        <f t="shared" si="8"/>
        <v>-</v>
      </c>
      <c r="O63" s="5" t="str">
        <f t="shared" si="9"/>
        <v>-</v>
      </c>
      <c r="P63" s="5" t="str">
        <f t="shared" si="10"/>
        <v>-</v>
      </c>
      <c r="Q63" s="5" t="str">
        <f t="shared" si="11"/>
        <v>-</v>
      </c>
      <c r="R63" s="5" t="str">
        <f t="shared" si="12"/>
        <v>-</v>
      </c>
      <c r="S63" s="4" t="str">
        <f t="shared" si="13"/>
        <v>Kein passender BAM-Eintrag der untersuchten Komponente; daher kein run-spezifischer BAM-Nachweis.</v>
      </c>
    </row>
    <row r="64" spans="1:19" ht="54" customHeight="1">
      <c r="A64" s="4" t="s">
        <v>202</v>
      </c>
      <c r="B64" s="4" t="s">
        <v>238</v>
      </c>
      <c r="C64" s="4" t="s">
        <v>14</v>
      </c>
      <c r="D64" s="4" t="s">
        <v>33</v>
      </c>
      <c r="E64" s="4" t="s">
        <v>23</v>
      </c>
      <c r="F64" s="4" t="s">
        <v>17</v>
      </c>
      <c r="G64" s="4"/>
      <c r="H64" s="4"/>
      <c r="I64" s="7"/>
      <c r="J64" s="7"/>
      <c r="K64" s="7">
        <v>46255.801416319446</v>
      </c>
      <c r="L64" s="7">
        <v>46255.801419328702</v>
      </c>
      <c r="M64" s="5">
        <f t="shared" si="7"/>
        <v>0</v>
      </c>
      <c r="N64" s="5" t="str">
        <f t="shared" si="8"/>
        <v>-</v>
      </c>
      <c r="O64" s="5" t="str">
        <f t="shared" si="9"/>
        <v>-</v>
      </c>
      <c r="P64" s="5" t="str">
        <f t="shared" si="10"/>
        <v>-</v>
      </c>
      <c r="Q64" s="5" t="str">
        <f t="shared" si="11"/>
        <v>-</v>
      </c>
      <c r="R64" s="5" t="str">
        <f t="shared" si="12"/>
        <v>-</v>
      </c>
      <c r="S64" s="4" t="str">
        <f t="shared" si="13"/>
        <v>Kein passender BAM-Eintrag der untersuchten Komponente; daher kein run-spezifischer BAM-Nachweis.</v>
      </c>
    </row>
    <row r="65" spans="1:19" ht="54" customHeight="1">
      <c r="A65" s="4" t="s">
        <v>204</v>
      </c>
      <c r="B65" s="4" t="s">
        <v>238</v>
      </c>
      <c r="C65" s="4" t="s">
        <v>50</v>
      </c>
      <c r="D65" s="4" t="s">
        <v>15</v>
      </c>
      <c r="E65" s="4" t="s">
        <v>16</v>
      </c>
      <c r="F65" s="4" t="s">
        <v>17</v>
      </c>
      <c r="G65" s="4"/>
      <c r="H65" s="4"/>
      <c r="I65" s="7"/>
      <c r="J65" s="7"/>
      <c r="K65" s="7">
        <v>46255.533252314817</v>
      </c>
      <c r="L65" s="7">
        <v>46255.533263657409</v>
      </c>
      <c r="M65" s="5">
        <f t="shared" si="7"/>
        <v>0</v>
      </c>
      <c r="N65" s="5" t="str">
        <f t="shared" si="8"/>
        <v>-</v>
      </c>
      <c r="O65" s="5" t="str">
        <f t="shared" si="9"/>
        <v>-</v>
      </c>
      <c r="P65" s="5" t="str">
        <f t="shared" si="10"/>
        <v>-</v>
      </c>
      <c r="Q65" s="5" t="str">
        <f t="shared" si="11"/>
        <v>-</v>
      </c>
      <c r="R65" s="5" t="str">
        <f t="shared" si="12"/>
        <v>-</v>
      </c>
      <c r="S65" s="4" t="str">
        <f t="shared" si="13"/>
        <v>Kein passender BAM-Eintrag der untersuchten Komponente; daher kein run-spezifischer BAM-Nachweis.</v>
      </c>
    </row>
    <row r="66" spans="1:19" ht="54" customHeight="1">
      <c r="A66" s="4" t="s">
        <v>206</v>
      </c>
      <c r="B66" s="4" t="s">
        <v>238</v>
      </c>
      <c r="C66" s="4" t="s">
        <v>50</v>
      </c>
      <c r="D66" s="4" t="s">
        <v>15</v>
      </c>
      <c r="E66" s="4" t="s">
        <v>20</v>
      </c>
      <c r="F66" s="4" t="s">
        <v>17</v>
      </c>
      <c r="G66" s="4"/>
      <c r="H66" s="4"/>
      <c r="I66" s="7"/>
      <c r="J66" s="7"/>
      <c r="K66" s="7">
        <v>46255.536427430554</v>
      </c>
      <c r="L66" s="7">
        <v>46255.536430902779</v>
      </c>
      <c r="M66" s="5">
        <f t="shared" ref="M66:M73" si="14">IF(F66="BAM-Treffer im Execution-Zeitraum",1,0)</f>
        <v>0</v>
      </c>
      <c r="N66" s="5" t="str">
        <f t="shared" ref="N66:N73" si="15">IF(M66=1,2,"-")</f>
        <v>-</v>
      </c>
      <c r="O66" s="5" t="str">
        <f t="shared" ref="O66:O73" si="16">IF(M66=1,2,"-")</f>
        <v>-</v>
      </c>
      <c r="P66" s="5" t="str">
        <f t="shared" ref="P66:P73" si="17">IF(M66=1,1,"-")</f>
        <v>-</v>
      </c>
      <c r="Q66" s="5" t="str">
        <f t="shared" ref="Q66:Q73" si="18">IF(M66=1,0,"-")</f>
        <v>-</v>
      </c>
      <c r="R66" s="5" t="str">
        <f t="shared" ref="R66:R73" si="19">IF(M66=1,0,"-")</f>
        <v>-</v>
      </c>
      <c r="S66" s="4" t="str">
        <f t="shared" ref="S66:S73" si="20">IF(M66=1,"Run-spezifischer BAM-Befund: Executable-Pfad und ExecutionTime ordnen die Zielkomponente direkt dem Lauf zu; Benutzerkontext liegt über die SID vor. Kommandozeile, Parent-Prozess und konkrete A1/A2-Handlung werden nicht dokumentiert.",IF(F66="Kein passender BAM-Eintrag","Kein passender BAM-Eintrag der untersuchten Komponente; daher kein run-spezifischer BAM-Nachweis.",IF(F66="BAM-Eintrag vorhanden, Ausführungszeit nicht im Execution-Zeitraum","BAM-Eintrag vorhanden, die ExecutionTime gehört jedoch nicht zum betrachteten Experimentlauf; daher kein run-spezifischer Nachweis.","BAM-Eintrag vorhanden, aber der Referenzzeitraum des Runs ist in der bereitgestellten RunTabelle nicht verfügbar.")))</f>
        <v>Kein passender BAM-Eintrag der untersuchten Komponente; daher kein run-spezifischer BAM-Nachweis.</v>
      </c>
    </row>
    <row r="67" spans="1:19" ht="54" customHeight="1">
      <c r="A67" s="4" t="s">
        <v>208</v>
      </c>
      <c r="B67" s="4" t="s">
        <v>238</v>
      </c>
      <c r="C67" s="4" t="s">
        <v>50</v>
      </c>
      <c r="D67" s="4" t="s">
        <v>15</v>
      </c>
      <c r="E67" s="4" t="s">
        <v>23</v>
      </c>
      <c r="F67" s="4" t="s">
        <v>17</v>
      </c>
      <c r="G67" s="4"/>
      <c r="H67" s="4"/>
      <c r="I67" s="7"/>
      <c r="J67" s="7"/>
      <c r="K67" s="7">
        <v>46255.539812962961</v>
      </c>
      <c r="L67" s="7">
        <v>46255.539817824072</v>
      </c>
      <c r="M67" s="5">
        <f t="shared" si="14"/>
        <v>0</v>
      </c>
      <c r="N67" s="5" t="str">
        <f t="shared" si="15"/>
        <v>-</v>
      </c>
      <c r="O67" s="5" t="str">
        <f t="shared" si="16"/>
        <v>-</v>
      </c>
      <c r="P67" s="5" t="str">
        <f t="shared" si="17"/>
        <v>-</v>
      </c>
      <c r="Q67" s="5" t="str">
        <f t="shared" si="18"/>
        <v>-</v>
      </c>
      <c r="R67" s="5" t="str">
        <f t="shared" si="19"/>
        <v>-</v>
      </c>
      <c r="S67" s="4" t="str">
        <f t="shared" si="20"/>
        <v>Kein passender BAM-Eintrag der untersuchten Komponente; daher kein run-spezifischer BAM-Nachweis.</v>
      </c>
    </row>
    <row r="68" spans="1:19" ht="54" customHeight="1">
      <c r="A68" s="4" t="s">
        <v>210</v>
      </c>
      <c r="B68" s="4" t="s">
        <v>238</v>
      </c>
      <c r="C68" s="4" t="s">
        <v>50</v>
      </c>
      <c r="D68" s="4" t="s">
        <v>26</v>
      </c>
      <c r="E68" s="4" t="s">
        <v>16</v>
      </c>
      <c r="F68" s="4" t="s">
        <v>17</v>
      </c>
      <c r="G68" s="4"/>
      <c r="H68" s="4"/>
      <c r="I68" s="7"/>
      <c r="J68" s="7"/>
      <c r="K68" s="7">
        <v>46255.623129976855</v>
      </c>
      <c r="L68" s="7">
        <v>46255.623139236108</v>
      </c>
      <c r="M68" s="5">
        <f t="shared" si="14"/>
        <v>0</v>
      </c>
      <c r="N68" s="5" t="str">
        <f t="shared" si="15"/>
        <v>-</v>
      </c>
      <c r="O68" s="5" t="str">
        <f t="shared" si="16"/>
        <v>-</v>
      </c>
      <c r="P68" s="5" t="str">
        <f t="shared" si="17"/>
        <v>-</v>
      </c>
      <c r="Q68" s="5" t="str">
        <f t="shared" si="18"/>
        <v>-</v>
      </c>
      <c r="R68" s="5" t="str">
        <f t="shared" si="19"/>
        <v>-</v>
      </c>
      <c r="S68" s="4" t="str">
        <f t="shared" si="20"/>
        <v>Kein passender BAM-Eintrag der untersuchten Komponente; daher kein run-spezifischer BAM-Nachweis.</v>
      </c>
    </row>
    <row r="69" spans="1:19" ht="54" customHeight="1">
      <c r="A69" s="4" t="s">
        <v>212</v>
      </c>
      <c r="B69" s="4" t="s">
        <v>238</v>
      </c>
      <c r="C69" s="4" t="s">
        <v>50</v>
      </c>
      <c r="D69" s="4" t="s">
        <v>26</v>
      </c>
      <c r="E69" s="4" t="s">
        <v>20</v>
      </c>
      <c r="F69" s="4" t="s">
        <v>17</v>
      </c>
      <c r="G69" s="4"/>
      <c r="H69" s="4"/>
      <c r="I69" s="7"/>
      <c r="J69" s="7"/>
      <c r="K69" s="7">
        <v>46255.626319212963</v>
      </c>
      <c r="L69" s="7">
        <v>46255.626327893522</v>
      </c>
      <c r="M69" s="5">
        <f t="shared" si="14"/>
        <v>0</v>
      </c>
      <c r="N69" s="5" t="str">
        <f t="shared" si="15"/>
        <v>-</v>
      </c>
      <c r="O69" s="5" t="str">
        <f t="shared" si="16"/>
        <v>-</v>
      </c>
      <c r="P69" s="5" t="str">
        <f t="shared" si="17"/>
        <v>-</v>
      </c>
      <c r="Q69" s="5" t="str">
        <f t="shared" si="18"/>
        <v>-</v>
      </c>
      <c r="R69" s="5" t="str">
        <f t="shared" si="19"/>
        <v>-</v>
      </c>
      <c r="S69" s="4" t="str">
        <f t="shared" si="20"/>
        <v>Kein passender BAM-Eintrag der untersuchten Komponente; daher kein run-spezifischer BAM-Nachweis.</v>
      </c>
    </row>
    <row r="70" spans="1:19" ht="54" customHeight="1">
      <c r="A70" s="4" t="s">
        <v>214</v>
      </c>
      <c r="B70" s="4" t="s">
        <v>238</v>
      </c>
      <c r="C70" s="4" t="s">
        <v>50</v>
      </c>
      <c r="D70" s="4" t="s">
        <v>26</v>
      </c>
      <c r="E70" s="4" t="s">
        <v>23</v>
      </c>
      <c r="F70" s="4" t="s">
        <v>17</v>
      </c>
      <c r="G70" s="4"/>
      <c r="H70" s="4"/>
      <c r="I70" s="7"/>
      <c r="J70" s="7"/>
      <c r="K70" s="7">
        <v>46255.630634143519</v>
      </c>
      <c r="L70" s="7">
        <v>46255.630643055556</v>
      </c>
      <c r="M70" s="5">
        <f t="shared" si="14"/>
        <v>0</v>
      </c>
      <c r="N70" s="5" t="str">
        <f t="shared" si="15"/>
        <v>-</v>
      </c>
      <c r="O70" s="5" t="str">
        <f t="shared" si="16"/>
        <v>-</v>
      </c>
      <c r="P70" s="5" t="str">
        <f t="shared" si="17"/>
        <v>-</v>
      </c>
      <c r="Q70" s="5" t="str">
        <f t="shared" si="18"/>
        <v>-</v>
      </c>
      <c r="R70" s="5" t="str">
        <f t="shared" si="19"/>
        <v>-</v>
      </c>
      <c r="S70" s="4" t="str">
        <f t="shared" si="20"/>
        <v>Kein passender BAM-Eintrag der untersuchten Komponente; daher kein run-spezifischer BAM-Nachweis.</v>
      </c>
    </row>
    <row r="71" spans="1:19" ht="54" customHeight="1">
      <c r="A71" s="4" t="s">
        <v>216</v>
      </c>
      <c r="B71" s="4" t="s">
        <v>238</v>
      </c>
      <c r="C71" s="4" t="s">
        <v>50</v>
      </c>
      <c r="D71" s="4" t="s">
        <v>33</v>
      </c>
      <c r="E71" s="4" t="s">
        <v>16</v>
      </c>
      <c r="F71" s="4" t="s">
        <v>17</v>
      </c>
      <c r="G71" s="4"/>
      <c r="H71" s="4"/>
      <c r="I71" s="7"/>
      <c r="J71" s="7"/>
      <c r="K71" s="7">
        <v>46255.806561921294</v>
      </c>
      <c r="L71" s="7">
        <v>46255.80657025463</v>
      </c>
      <c r="M71" s="5">
        <f t="shared" si="14"/>
        <v>0</v>
      </c>
      <c r="N71" s="5" t="str">
        <f t="shared" si="15"/>
        <v>-</v>
      </c>
      <c r="O71" s="5" t="str">
        <f t="shared" si="16"/>
        <v>-</v>
      </c>
      <c r="P71" s="5" t="str">
        <f t="shared" si="17"/>
        <v>-</v>
      </c>
      <c r="Q71" s="5" t="str">
        <f t="shared" si="18"/>
        <v>-</v>
      </c>
      <c r="R71" s="5" t="str">
        <f t="shared" si="19"/>
        <v>-</v>
      </c>
      <c r="S71" s="4" t="str">
        <f t="shared" si="20"/>
        <v>Kein passender BAM-Eintrag der untersuchten Komponente; daher kein run-spezifischer BAM-Nachweis.</v>
      </c>
    </row>
    <row r="72" spans="1:19" ht="54" customHeight="1">
      <c r="A72" s="4" t="s">
        <v>218</v>
      </c>
      <c r="B72" s="4" t="s">
        <v>238</v>
      </c>
      <c r="C72" s="4" t="s">
        <v>50</v>
      </c>
      <c r="D72" s="4" t="s">
        <v>33</v>
      </c>
      <c r="E72" s="4" t="s">
        <v>20</v>
      </c>
      <c r="F72" s="4" t="s">
        <v>17</v>
      </c>
      <c r="G72" s="4"/>
      <c r="H72" s="4"/>
      <c r="I72" s="7"/>
      <c r="J72" s="7"/>
      <c r="K72" s="7">
        <v>46255.813096990743</v>
      </c>
      <c r="L72" s="7">
        <v>46255.813105555557</v>
      </c>
      <c r="M72" s="5">
        <f t="shared" si="14"/>
        <v>0</v>
      </c>
      <c r="N72" s="5" t="str">
        <f t="shared" si="15"/>
        <v>-</v>
      </c>
      <c r="O72" s="5" t="str">
        <f t="shared" si="16"/>
        <v>-</v>
      </c>
      <c r="P72" s="5" t="str">
        <f t="shared" si="17"/>
        <v>-</v>
      </c>
      <c r="Q72" s="5" t="str">
        <f t="shared" si="18"/>
        <v>-</v>
      </c>
      <c r="R72" s="5" t="str">
        <f t="shared" si="19"/>
        <v>-</v>
      </c>
      <c r="S72" s="4" t="str">
        <f t="shared" si="20"/>
        <v>Kein passender BAM-Eintrag der untersuchten Komponente; daher kein run-spezifischer BAM-Nachweis.</v>
      </c>
    </row>
    <row r="73" spans="1:19" ht="54" customHeight="1">
      <c r="A73" s="4" t="s">
        <v>220</v>
      </c>
      <c r="B73" s="4" t="s">
        <v>238</v>
      </c>
      <c r="C73" s="4" t="s">
        <v>50</v>
      </c>
      <c r="D73" s="4" t="s">
        <v>33</v>
      </c>
      <c r="E73" s="4" t="s">
        <v>23</v>
      </c>
      <c r="F73" s="4" t="s">
        <v>17</v>
      </c>
      <c r="G73" s="4"/>
      <c r="H73" s="4"/>
      <c r="I73" s="7"/>
      <c r="J73" s="7"/>
      <c r="K73" s="7">
        <v>46255.818209606485</v>
      </c>
      <c r="L73" s="7">
        <v>46255.818218518521</v>
      </c>
      <c r="M73" s="5">
        <f t="shared" si="14"/>
        <v>0</v>
      </c>
      <c r="N73" s="5" t="str">
        <f t="shared" si="15"/>
        <v>-</v>
      </c>
      <c r="O73" s="5" t="str">
        <f t="shared" si="16"/>
        <v>-</v>
      </c>
      <c r="P73" s="5" t="str">
        <f t="shared" si="17"/>
        <v>-</v>
      </c>
      <c r="Q73" s="5" t="str">
        <f t="shared" si="18"/>
        <v>-</v>
      </c>
      <c r="R73" s="5" t="str">
        <f t="shared" si="19"/>
        <v>-</v>
      </c>
      <c r="S73" s="4" t="str">
        <f t="shared" si="20"/>
        <v>Kein passender BAM-Eintrag der untersuchten Komponente; daher kein run-spezifischer BAM-Nachweis.</v>
      </c>
    </row>
  </sheetData>
  <conditionalFormatting sqref="F2:F73">
    <cfRule type="expression" dxfId="2" priority="1">
      <formula>F2="BAM-Treffer im Execution-Zeitraum"</formula>
    </cfRule>
    <cfRule type="expression" dxfId="1" priority="2">
      <formula>F2="Kein passender BAM-Eintrag"</formula>
    </cfRule>
    <cfRule type="expression" dxfId="0" priority="3">
      <formula>F2="BAM-Eintrag vorhanden, Ausführungszeit nicht im Execution-Zeitraum"</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8"/>
  <sheetViews>
    <sheetView tabSelected="1" topLeftCell="A27" workbookViewId="0">
      <selection activeCell="A27" sqref="A27:J27"/>
    </sheetView>
  </sheetViews>
  <sheetFormatPr baseColWidth="10" defaultColWidth="9" defaultRowHeight="14.25"/>
  <cols>
    <col min="1" max="1" width="18" customWidth="1"/>
    <col min="2" max="2" width="14" customWidth="1"/>
    <col min="3" max="3" width="15" customWidth="1"/>
    <col min="4" max="4" width="10" customWidth="1"/>
    <col min="5" max="9" width="8" customWidth="1"/>
    <col min="10" max="10" width="35" customWidth="1"/>
  </cols>
  <sheetData>
    <row r="1" spans="1:10" ht="15">
      <c r="A1" s="1" t="s">
        <v>1</v>
      </c>
      <c r="B1" s="1" t="s">
        <v>2</v>
      </c>
      <c r="C1" s="1" t="s">
        <v>239</v>
      </c>
      <c r="D1" s="1" t="s">
        <v>240</v>
      </c>
      <c r="E1" s="1" t="s">
        <v>229</v>
      </c>
      <c r="F1" s="1" t="s">
        <v>230</v>
      </c>
      <c r="G1" s="1" t="s">
        <v>231</v>
      </c>
      <c r="H1" s="1" t="s">
        <v>232</v>
      </c>
      <c r="I1" s="1" t="s">
        <v>233</v>
      </c>
      <c r="J1" s="1" t="s">
        <v>241</v>
      </c>
    </row>
    <row r="2" spans="1:10">
      <c r="A2" s="2" t="s">
        <v>235</v>
      </c>
      <c r="B2" s="2" t="s">
        <v>14</v>
      </c>
      <c r="C2" s="2" t="s">
        <v>15</v>
      </c>
      <c r="D2" s="6" t="str">
        <f>COUNTIF('Run-Level bewertet'!M2:M4,1)&amp;"/3"</f>
        <v>0/3</v>
      </c>
      <c r="E2" s="6" t="str">
        <f>IF(D2="0/3","-",MIN('Run-Level bewertet'!N2:N4))</f>
        <v>-</v>
      </c>
      <c r="F2" s="6" t="str">
        <f>IF(D2="0/3","-",MIN('Run-Level bewertet'!O2:O4))</f>
        <v>-</v>
      </c>
      <c r="G2" s="6" t="str">
        <f>IF(D2="0/3","-",MIN('Run-Level bewertet'!P2:P4))</f>
        <v>-</v>
      </c>
      <c r="H2" s="6" t="str">
        <f>IF(D2="0/3","-",MIN('Run-Level bewertet'!Q2:Q4))</f>
        <v>-</v>
      </c>
      <c r="I2" s="6" t="str">
        <f>IF(D2="0/3","-",MIN('Run-Level bewertet'!R2:R4))</f>
        <v>-</v>
      </c>
      <c r="J2" s="2" t="str">
        <f t="shared" ref="J2:J25" si="0">IF(D2="0/3",D2&amp;" · -",D2&amp;" · K"&amp;E2&amp;" T"&amp;F2&amp;" U"&amp;G2&amp;" A"&amp;H2&amp;" H"&amp;I2)</f>
        <v>0/3 · -</v>
      </c>
    </row>
    <row r="3" spans="1:10">
      <c r="A3" s="2" t="s">
        <v>235</v>
      </c>
      <c r="B3" s="2" t="s">
        <v>14</v>
      </c>
      <c r="C3" s="2" t="s">
        <v>26</v>
      </c>
      <c r="D3" s="6" t="str">
        <f>COUNTIF('Run-Level bewertet'!M5:M7,1)&amp;"/3"</f>
        <v>0/3</v>
      </c>
      <c r="E3" s="6" t="str">
        <f>IF(D3="0/3","-",MIN('Run-Level bewertet'!N5:N7))</f>
        <v>-</v>
      </c>
      <c r="F3" s="6" t="str">
        <f>IF(D3="0/3","-",MIN('Run-Level bewertet'!O5:O7))</f>
        <v>-</v>
      </c>
      <c r="G3" s="6" t="str">
        <f>IF(D3="0/3","-",MIN('Run-Level bewertet'!P5:P7))</f>
        <v>-</v>
      </c>
      <c r="H3" s="6" t="str">
        <f>IF(D3="0/3","-",MIN('Run-Level bewertet'!Q5:Q7))</f>
        <v>-</v>
      </c>
      <c r="I3" s="6" t="str">
        <f>IF(D3="0/3","-",MIN('Run-Level bewertet'!R5:R7))</f>
        <v>-</v>
      </c>
      <c r="J3" s="2" t="str">
        <f t="shared" si="0"/>
        <v>0/3 · -</v>
      </c>
    </row>
    <row r="4" spans="1:10">
      <c r="A4" s="2" t="s">
        <v>235</v>
      </c>
      <c r="B4" s="2" t="s">
        <v>14</v>
      </c>
      <c r="C4" s="2" t="s">
        <v>33</v>
      </c>
      <c r="D4" s="6" t="str">
        <f>COUNTIF('Run-Level bewertet'!M8:M10,1)&amp;"/3"</f>
        <v>2/3</v>
      </c>
      <c r="E4" s="6">
        <f>IF(D4="0/3","-",MIN('Run-Level bewertet'!N8:N10))</f>
        <v>2</v>
      </c>
      <c r="F4" s="6">
        <f>IF(D4="0/3","-",MIN('Run-Level bewertet'!O8:O10))</f>
        <v>2</v>
      </c>
      <c r="G4" s="6">
        <f>IF(D4="0/3","-",MIN('Run-Level bewertet'!P8:P10))</f>
        <v>1</v>
      </c>
      <c r="H4" s="6">
        <f>IF(D4="0/3","-",MIN('Run-Level bewertet'!Q8:Q10))</f>
        <v>0</v>
      </c>
      <c r="I4" s="6">
        <f>IF(D4="0/3","-",MIN('Run-Level bewertet'!R8:R10))</f>
        <v>0</v>
      </c>
      <c r="J4" s="2" t="str">
        <f t="shared" si="0"/>
        <v>2/3 · K2 T2 U1 A0 H0</v>
      </c>
    </row>
    <row r="5" spans="1:10">
      <c r="A5" s="2" t="s">
        <v>235</v>
      </c>
      <c r="B5" s="2" t="s">
        <v>50</v>
      </c>
      <c r="C5" s="2" t="s">
        <v>15</v>
      </c>
      <c r="D5" s="6" t="str">
        <f>COUNTIF('Run-Level bewertet'!M11:M13,1)&amp;"/3"</f>
        <v>0/3</v>
      </c>
      <c r="E5" s="6" t="str">
        <f>IF(D5="0/3","-",MIN('Run-Level bewertet'!N11:N13))</f>
        <v>-</v>
      </c>
      <c r="F5" s="6" t="str">
        <f>IF(D5="0/3","-",MIN('Run-Level bewertet'!O11:O13))</f>
        <v>-</v>
      </c>
      <c r="G5" s="6" t="str">
        <f>IF(D5="0/3","-",MIN('Run-Level bewertet'!P11:P13))</f>
        <v>-</v>
      </c>
      <c r="H5" s="6" t="str">
        <f>IF(D5="0/3","-",MIN('Run-Level bewertet'!Q11:Q13))</f>
        <v>-</v>
      </c>
      <c r="I5" s="6" t="str">
        <f>IF(D5="0/3","-",MIN('Run-Level bewertet'!R11:R13))</f>
        <v>-</v>
      </c>
      <c r="J5" s="2" t="str">
        <f t="shared" si="0"/>
        <v>0/3 · -</v>
      </c>
    </row>
    <row r="6" spans="1:10">
      <c r="A6" s="2" t="s">
        <v>235</v>
      </c>
      <c r="B6" s="2" t="s">
        <v>50</v>
      </c>
      <c r="C6" s="2" t="s">
        <v>26</v>
      </c>
      <c r="D6" s="6" t="str">
        <f>COUNTIF('Run-Level bewertet'!M14:M16,1)&amp;"/3"</f>
        <v>0/3</v>
      </c>
      <c r="E6" s="6" t="str">
        <f>IF(D6="0/3","-",MIN('Run-Level bewertet'!N14:N16))</f>
        <v>-</v>
      </c>
      <c r="F6" s="6" t="str">
        <f>IF(D6="0/3","-",MIN('Run-Level bewertet'!O14:O16))</f>
        <v>-</v>
      </c>
      <c r="G6" s="6" t="str">
        <f>IF(D6="0/3","-",MIN('Run-Level bewertet'!P14:P16))</f>
        <v>-</v>
      </c>
      <c r="H6" s="6" t="str">
        <f>IF(D6="0/3","-",MIN('Run-Level bewertet'!Q14:Q16))</f>
        <v>-</v>
      </c>
      <c r="I6" s="6" t="str">
        <f>IF(D6="0/3","-",MIN('Run-Level bewertet'!R14:R16))</f>
        <v>-</v>
      </c>
      <c r="J6" s="2" t="str">
        <f t="shared" si="0"/>
        <v>0/3 · -</v>
      </c>
    </row>
    <row r="7" spans="1:10">
      <c r="A7" s="2" t="s">
        <v>235</v>
      </c>
      <c r="B7" s="2" t="s">
        <v>50</v>
      </c>
      <c r="C7" s="2" t="s">
        <v>33</v>
      </c>
      <c r="D7" s="6" t="str">
        <f>COUNTIF('Run-Level bewertet'!M17:M19,1)&amp;"/3"</f>
        <v>3/3</v>
      </c>
      <c r="E7" s="6">
        <f>IF(D7="0/3","-",MIN('Run-Level bewertet'!N17:N19))</f>
        <v>2</v>
      </c>
      <c r="F7" s="6">
        <f>IF(D7="0/3","-",MIN('Run-Level bewertet'!O17:O19))</f>
        <v>2</v>
      </c>
      <c r="G7" s="6">
        <f>IF(D7="0/3","-",MIN('Run-Level bewertet'!P17:P19))</f>
        <v>1</v>
      </c>
      <c r="H7" s="6">
        <f>IF(D7="0/3","-",MIN('Run-Level bewertet'!Q17:Q19))</f>
        <v>0</v>
      </c>
      <c r="I7" s="6">
        <f>IF(D7="0/3","-",MIN('Run-Level bewertet'!R17:R19))</f>
        <v>0</v>
      </c>
      <c r="J7" s="2" t="str">
        <f t="shared" si="0"/>
        <v>3/3 · K2 T2 U1 A0 H0</v>
      </c>
    </row>
    <row r="8" spans="1:10">
      <c r="A8" s="2" t="s">
        <v>236</v>
      </c>
      <c r="B8" s="2" t="s">
        <v>14</v>
      </c>
      <c r="C8" s="2" t="s">
        <v>15</v>
      </c>
      <c r="D8" s="6" t="str">
        <f>COUNTIF('Run-Level bewertet'!M20:M22,1)&amp;"/3"</f>
        <v>3/3</v>
      </c>
      <c r="E8" s="6">
        <f>IF(D8="0/3","-",MIN('Run-Level bewertet'!N20:N22))</f>
        <v>2</v>
      </c>
      <c r="F8" s="6">
        <f>IF(D8="0/3","-",MIN('Run-Level bewertet'!O20:O22))</f>
        <v>2</v>
      </c>
      <c r="G8" s="6">
        <f>IF(D8="0/3","-",MIN('Run-Level bewertet'!P20:P22))</f>
        <v>1</v>
      </c>
      <c r="H8" s="6">
        <f>IF(D8="0/3","-",MIN('Run-Level bewertet'!Q20:Q22))</f>
        <v>0</v>
      </c>
      <c r="I8" s="6">
        <f>IF(D8="0/3","-",MIN('Run-Level bewertet'!R20:R22))</f>
        <v>0</v>
      </c>
      <c r="J8" s="2" t="str">
        <f t="shared" si="0"/>
        <v>3/3 · K2 T2 U1 A0 H0</v>
      </c>
    </row>
    <row r="9" spans="1:10">
      <c r="A9" s="2" t="s">
        <v>236</v>
      </c>
      <c r="B9" s="2" t="s">
        <v>14</v>
      </c>
      <c r="C9" s="2" t="s">
        <v>26</v>
      </c>
      <c r="D9" s="6" t="str">
        <f>COUNTIF('Run-Level bewertet'!M23:M25,1)&amp;"/3"</f>
        <v>3/3</v>
      </c>
      <c r="E9" s="6">
        <f>IF(D9="0/3","-",MIN('Run-Level bewertet'!N23:N25))</f>
        <v>2</v>
      </c>
      <c r="F9" s="6">
        <f>IF(D9="0/3","-",MIN('Run-Level bewertet'!O23:O25))</f>
        <v>2</v>
      </c>
      <c r="G9" s="6">
        <f>IF(D9="0/3","-",MIN('Run-Level bewertet'!P23:P25))</f>
        <v>1</v>
      </c>
      <c r="H9" s="6">
        <f>IF(D9="0/3","-",MIN('Run-Level bewertet'!Q23:Q25))</f>
        <v>0</v>
      </c>
      <c r="I9" s="6">
        <f>IF(D9="0/3","-",MIN('Run-Level bewertet'!R23:R25))</f>
        <v>0</v>
      </c>
      <c r="J9" s="2" t="str">
        <f t="shared" si="0"/>
        <v>3/3 · K2 T2 U1 A0 H0</v>
      </c>
    </row>
    <row r="10" spans="1:10">
      <c r="A10" s="2" t="s">
        <v>236</v>
      </c>
      <c r="B10" s="2" t="s">
        <v>14</v>
      </c>
      <c r="C10" s="2" t="s">
        <v>33</v>
      </c>
      <c r="D10" s="6" t="str">
        <f>COUNTIF('Run-Level bewertet'!M26:M28,1)&amp;"/3"</f>
        <v>3/3</v>
      </c>
      <c r="E10" s="6">
        <f>IF(D10="0/3","-",MIN('Run-Level bewertet'!N26:N28))</f>
        <v>2</v>
      </c>
      <c r="F10" s="6">
        <f>IF(D10="0/3","-",MIN('Run-Level bewertet'!O26:O28))</f>
        <v>2</v>
      </c>
      <c r="G10" s="6">
        <f>IF(D10="0/3","-",MIN('Run-Level bewertet'!P26:P28))</f>
        <v>1</v>
      </c>
      <c r="H10" s="6">
        <f>IF(D10="0/3","-",MIN('Run-Level bewertet'!Q26:Q28))</f>
        <v>0</v>
      </c>
      <c r="I10" s="6">
        <f>IF(D10="0/3","-",MIN('Run-Level bewertet'!R26:R28))</f>
        <v>0</v>
      </c>
      <c r="J10" s="2" t="str">
        <f t="shared" si="0"/>
        <v>3/3 · K2 T2 U1 A0 H0</v>
      </c>
    </row>
    <row r="11" spans="1:10">
      <c r="A11" s="2" t="s">
        <v>236</v>
      </c>
      <c r="B11" s="2" t="s">
        <v>50</v>
      </c>
      <c r="C11" s="2" t="s">
        <v>15</v>
      </c>
      <c r="D11" s="6" t="str">
        <f>COUNTIF('Run-Level bewertet'!M29:M31,1)&amp;"/3"</f>
        <v>3/3</v>
      </c>
      <c r="E11" s="6">
        <f>IF(D11="0/3","-",MIN('Run-Level bewertet'!N29:N31))</f>
        <v>2</v>
      </c>
      <c r="F11" s="6">
        <f>IF(D11="0/3","-",MIN('Run-Level bewertet'!O29:O31))</f>
        <v>2</v>
      </c>
      <c r="G11" s="6">
        <f>IF(D11="0/3","-",MIN('Run-Level bewertet'!P29:P31))</f>
        <v>1</v>
      </c>
      <c r="H11" s="6">
        <f>IF(D11="0/3","-",MIN('Run-Level bewertet'!Q29:Q31))</f>
        <v>0</v>
      </c>
      <c r="I11" s="6">
        <f>IF(D11="0/3","-",MIN('Run-Level bewertet'!R29:R31))</f>
        <v>0</v>
      </c>
      <c r="J11" s="2" t="str">
        <f t="shared" si="0"/>
        <v>3/3 · K2 T2 U1 A0 H0</v>
      </c>
    </row>
    <row r="12" spans="1:10">
      <c r="A12" s="2" t="s">
        <v>236</v>
      </c>
      <c r="B12" s="2" t="s">
        <v>50</v>
      </c>
      <c r="C12" s="2" t="s">
        <v>26</v>
      </c>
      <c r="D12" s="6" t="str">
        <f>COUNTIF('Run-Level bewertet'!M32:M34,1)&amp;"/3"</f>
        <v>3/3</v>
      </c>
      <c r="E12" s="6">
        <f>IF(D12="0/3","-",MIN('Run-Level bewertet'!N32:N34))</f>
        <v>2</v>
      </c>
      <c r="F12" s="6">
        <f>IF(D12="0/3","-",MIN('Run-Level bewertet'!O32:O34))</f>
        <v>2</v>
      </c>
      <c r="G12" s="6">
        <f>IF(D12="0/3","-",MIN('Run-Level bewertet'!P32:P34))</f>
        <v>1</v>
      </c>
      <c r="H12" s="6">
        <f>IF(D12="0/3","-",MIN('Run-Level bewertet'!Q32:Q34))</f>
        <v>0</v>
      </c>
      <c r="I12" s="6">
        <f>IF(D12="0/3","-",MIN('Run-Level bewertet'!R32:R34))</f>
        <v>0</v>
      </c>
      <c r="J12" s="2" t="str">
        <f t="shared" si="0"/>
        <v>3/3 · K2 T2 U1 A0 H0</v>
      </c>
    </row>
    <row r="13" spans="1:10">
      <c r="A13" s="2" t="s">
        <v>236</v>
      </c>
      <c r="B13" s="2" t="s">
        <v>50</v>
      </c>
      <c r="C13" s="2" t="s">
        <v>33</v>
      </c>
      <c r="D13" s="6" t="str">
        <f>COUNTIF('Run-Level bewertet'!M35:M37,1)&amp;"/3"</f>
        <v>3/3</v>
      </c>
      <c r="E13" s="6">
        <f>IF(D13="0/3","-",MIN('Run-Level bewertet'!N35:N37))</f>
        <v>2</v>
      </c>
      <c r="F13" s="6">
        <f>IF(D13="0/3","-",MIN('Run-Level bewertet'!O35:O37))</f>
        <v>2</v>
      </c>
      <c r="G13" s="6">
        <f>IF(D13="0/3","-",MIN('Run-Level bewertet'!P35:P37))</f>
        <v>1</v>
      </c>
      <c r="H13" s="6">
        <f>IF(D13="0/3","-",MIN('Run-Level bewertet'!Q35:Q37))</f>
        <v>0</v>
      </c>
      <c r="I13" s="6">
        <f>IF(D13="0/3","-",MIN('Run-Level bewertet'!R35:R37))</f>
        <v>0</v>
      </c>
      <c r="J13" s="2" t="str">
        <f t="shared" si="0"/>
        <v>3/3 · K2 T2 U1 A0 H0</v>
      </c>
    </row>
    <row r="14" spans="1:10">
      <c r="A14" s="2" t="s">
        <v>237</v>
      </c>
      <c r="B14" s="2" t="s">
        <v>14</v>
      </c>
      <c r="C14" s="2" t="s">
        <v>15</v>
      </c>
      <c r="D14" s="6" t="str">
        <f>COUNTIF('Run-Level bewertet'!M38:M40,1)&amp;"/3"</f>
        <v>0/3</v>
      </c>
      <c r="E14" s="6" t="str">
        <f>IF(D14="0/3","-",MIN('Run-Level bewertet'!N38:N40))</f>
        <v>-</v>
      </c>
      <c r="F14" s="6" t="str">
        <f>IF(D14="0/3","-",MIN('Run-Level bewertet'!O38:O40))</f>
        <v>-</v>
      </c>
      <c r="G14" s="6" t="str">
        <f>IF(D14="0/3","-",MIN('Run-Level bewertet'!P38:P40))</f>
        <v>-</v>
      </c>
      <c r="H14" s="6" t="str">
        <f>IF(D14="0/3","-",MIN('Run-Level bewertet'!Q38:Q40))</f>
        <v>-</v>
      </c>
      <c r="I14" s="6" t="str">
        <f>IF(D14="0/3","-",MIN('Run-Level bewertet'!R38:R40))</f>
        <v>-</v>
      </c>
      <c r="J14" s="2" t="str">
        <f t="shared" si="0"/>
        <v>0/3 · -</v>
      </c>
    </row>
    <row r="15" spans="1:10">
      <c r="A15" s="2" t="s">
        <v>237</v>
      </c>
      <c r="B15" s="2" t="s">
        <v>14</v>
      </c>
      <c r="C15" s="2" t="s">
        <v>26</v>
      </c>
      <c r="D15" s="6" t="str">
        <f>COUNTIF('Run-Level bewertet'!M41:M43,1)&amp;"/3"</f>
        <v>0/3</v>
      </c>
      <c r="E15" s="6" t="str">
        <f>IF(D15="0/3","-",MIN('Run-Level bewertet'!N41:N43))</f>
        <v>-</v>
      </c>
      <c r="F15" s="6" t="str">
        <f>IF(D15="0/3","-",MIN('Run-Level bewertet'!O41:O43))</f>
        <v>-</v>
      </c>
      <c r="G15" s="6" t="str">
        <f>IF(D15="0/3","-",MIN('Run-Level bewertet'!P41:P43))</f>
        <v>-</v>
      </c>
      <c r="H15" s="6" t="str">
        <f>IF(D15="0/3","-",MIN('Run-Level bewertet'!Q41:Q43))</f>
        <v>-</v>
      </c>
      <c r="I15" s="6" t="str">
        <f>IF(D15="0/3","-",MIN('Run-Level bewertet'!R41:R43))</f>
        <v>-</v>
      </c>
      <c r="J15" s="2" t="str">
        <f t="shared" si="0"/>
        <v>0/3 · -</v>
      </c>
    </row>
    <row r="16" spans="1:10">
      <c r="A16" s="2" t="s">
        <v>237</v>
      </c>
      <c r="B16" s="2" t="s">
        <v>14</v>
      </c>
      <c r="C16" s="2" t="s">
        <v>33</v>
      </c>
      <c r="D16" s="6" t="str">
        <f>COUNTIF('Run-Level bewertet'!M44:M46,1)&amp;"/3"</f>
        <v>0/3</v>
      </c>
      <c r="E16" s="6" t="str">
        <f>IF(D16="0/3","-",MIN('Run-Level bewertet'!N44:N46))</f>
        <v>-</v>
      </c>
      <c r="F16" s="6" t="str">
        <f>IF(D16="0/3","-",MIN('Run-Level bewertet'!O44:O46))</f>
        <v>-</v>
      </c>
      <c r="G16" s="6" t="str">
        <f>IF(D16="0/3","-",MIN('Run-Level bewertet'!P44:P46))</f>
        <v>-</v>
      </c>
      <c r="H16" s="6" t="str">
        <f>IF(D16="0/3","-",MIN('Run-Level bewertet'!Q44:Q46))</f>
        <v>-</v>
      </c>
      <c r="I16" s="6" t="str">
        <f>IF(D16="0/3","-",MIN('Run-Level bewertet'!R44:R46))</f>
        <v>-</v>
      </c>
      <c r="J16" s="2" t="str">
        <f t="shared" si="0"/>
        <v>0/3 · -</v>
      </c>
    </row>
    <row r="17" spans="1:10">
      <c r="A17" s="2" t="s">
        <v>237</v>
      </c>
      <c r="B17" s="2" t="s">
        <v>50</v>
      </c>
      <c r="C17" s="2" t="s">
        <v>15</v>
      </c>
      <c r="D17" s="6" t="str">
        <f>COUNTIF('Run-Level bewertet'!M47:M49,1)&amp;"/3"</f>
        <v>0/3</v>
      </c>
      <c r="E17" s="6" t="str">
        <f>IF(D17="0/3","-",MIN('Run-Level bewertet'!N47:N49))</f>
        <v>-</v>
      </c>
      <c r="F17" s="6" t="str">
        <f>IF(D17="0/3","-",MIN('Run-Level bewertet'!O47:O49))</f>
        <v>-</v>
      </c>
      <c r="G17" s="6" t="str">
        <f>IF(D17="0/3","-",MIN('Run-Level bewertet'!P47:P49))</f>
        <v>-</v>
      </c>
      <c r="H17" s="6" t="str">
        <f>IF(D17="0/3","-",MIN('Run-Level bewertet'!Q47:Q49))</f>
        <v>-</v>
      </c>
      <c r="I17" s="6" t="str">
        <f>IF(D17="0/3","-",MIN('Run-Level bewertet'!R47:R49))</f>
        <v>-</v>
      </c>
      <c r="J17" s="2" t="str">
        <f t="shared" si="0"/>
        <v>0/3 · -</v>
      </c>
    </row>
    <row r="18" spans="1:10">
      <c r="A18" s="2" t="s">
        <v>237</v>
      </c>
      <c r="B18" s="2" t="s">
        <v>50</v>
      </c>
      <c r="C18" s="2" t="s">
        <v>26</v>
      </c>
      <c r="D18" s="6" t="str">
        <f>COUNTIF('Run-Level bewertet'!M50:M52,1)&amp;"/3"</f>
        <v>0/3</v>
      </c>
      <c r="E18" s="6" t="str">
        <f>IF(D18="0/3","-",MIN('Run-Level bewertet'!N50:N52))</f>
        <v>-</v>
      </c>
      <c r="F18" s="6" t="str">
        <f>IF(D18="0/3","-",MIN('Run-Level bewertet'!O50:O52))</f>
        <v>-</v>
      </c>
      <c r="G18" s="6" t="str">
        <f>IF(D18="0/3","-",MIN('Run-Level bewertet'!P50:P52))</f>
        <v>-</v>
      </c>
      <c r="H18" s="6" t="str">
        <f>IF(D18="0/3","-",MIN('Run-Level bewertet'!Q50:Q52))</f>
        <v>-</v>
      </c>
      <c r="I18" s="6" t="str">
        <f>IF(D18="0/3","-",MIN('Run-Level bewertet'!R50:R52))</f>
        <v>-</v>
      </c>
      <c r="J18" s="2" t="str">
        <f t="shared" si="0"/>
        <v>0/3 · -</v>
      </c>
    </row>
    <row r="19" spans="1:10">
      <c r="A19" s="2" t="s">
        <v>237</v>
      </c>
      <c r="B19" s="2" t="s">
        <v>50</v>
      </c>
      <c r="C19" s="2" t="s">
        <v>33</v>
      </c>
      <c r="D19" s="6" t="str">
        <f>COUNTIF('Run-Level bewertet'!M53:M55,1)&amp;"/3"</f>
        <v>0/3</v>
      </c>
      <c r="E19" s="6" t="str">
        <f>IF(D19="0/3","-",MIN('Run-Level bewertet'!N53:N55))</f>
        <v>-</v>
      </c>
      <c r="F19" s="6" t="str">
        <f>IF(D19="0/3","-",MIN('Run-Level bewertet'!O53:O55))</f>
        <v>-</v>
      </c>
      <c r="G19" s="6" t="str">
        <f>IF(D19="0/3","-",MIN('Run-Level bewertet'!P53:P55))</f>
        <v>-</v>
      </c>
      <c r="H19" s="6" t="str">
        <f>IF(D19="0/3","-",MIN('Run-Level bewertet'!Q53:Q55))</f>
        <v>-</v>
      </c>
      <c r="I19" s="6" t="str">
        <f>IF(D19="0/3","-",MIN('Run-Level bewertet'!R53:R55))</f>
        <v>-</v>
      </c>
      <c r="J19" s="2" t="str">
        <f t="shared" si="0"/>
        <v>0/3 · -</v>
      </c>
    </row>
    <row r="20" spans="1:10">
      <c r="A20" s="2" t="s">
        <v>238</v>
      </c>
      <c r="B20" s="2" t="s">
        <v>14</v>
      </c>
      <c r="C20" s="2" t="s">
        <v>15</v>
      </c>
      <c r="D20" s="6" t="str">
        <f>COUNTIF('Run-Level bewertet'!M56:M58,1)&amp;"/3"</f>
        <v>0/3</v>
      </c>
      <c r="E20" s="6" t="str">
        <f>IF(D20="0/3","-",MIN('Run-Level bewertet'!N56:N58))</f>
        <v>-</v>
      </c>
      <c r="F20" s="6" t="str">
        <f>IF(D20="0/3","-",MIN('Run-Level bewertet'!O56:O58))</f>
        <v>-</v>
      </c>
      <c r="G20" s="6" t="str">
        <f>IF(D20="0/3","-",MIN('Run-Level bewertet'!P56:P58))</f>
        <v>-</v>
      </c>
      <c r="H20" s="6" t="str">
        <f>IF(D20="0/3","-",MIN('Run-Level bewertet'!Q56:Q58))</f>
        <v>-</v>
      </c>
      <c r="I20" s="6" t="str">
        <f>IF(D20="0/3","-",MIN('Run-Level bewertet'!R56:R58))</f>
        <v>-</v>
      </c>
      <c r="J20" s="2" t="str">
        <f t="shared" si="0"/>
        <v>0/3 · -</v>
      </c>
    </row>
    <row r="21" spans="1:10">
      <c r="A21" s="2" t="s">
        <v>238</v>
      </c>
      <c r="B21" s="2" t="s">
        <v>14</v>
      </c>
      <c r="C21" s="2" t="s">
        <v>26</v>
      </c>
      <c r="D21" s="6" t="str">
        <f>COUNTIF('Run-Level bewertet'!M59:M61,1)&amp;"/3"</f>
        <v>0/3</v>
      </c>
      <c r="E21" s="6" t="str">
        <f>IF(D21="0/3","-",MIN('Run-Level bewertet'!N59:N61))</f>
        <v>-</v>
      </c>
      <c r="F21" s="6" t="str">
        <f>IF(D21="0/3","-",MIN('Run-Level bewertet'!O59:O61))</f>
        <v>-</v>
      </c>
      <c r="G21" s="6" t="str">
        <f>IF(D21="0/3","-",MIN('Run-Level bewertet'!P59:P61))</f>
        <v>-</v>
      </c>
      <c r="H21" s="6" t="str">
        <f>IF(D21="0/3","-",MIN('Run-Level bewertet'!Q59:Q61))</f>
        <v>-</v>
      </c>
      <c r="I21" s="6" t="str">
        <f>IF(D21="0/3","-",MIN('Run-Level bewertet'!R59:R61))</f>
        <v>-</v>
      </c>
      <c r="J21" s="2" t="str">
        <f t="shared" si="0"/>
        <v>0/3 · -</v>
      </c>
    </row>
    <row r="22" spans="1:10">
      <c r="A22" s="2" t="s">
        <v>238</v>
      </c>
      <c r="B22" s="2" t="s">
        <v>14</v>
      </c>
      <c r="C22" s="2" t="s">
        <v>33</v>
      </c>
      <c r="D22" s="6" t="str">
        <f>COUNTIF('Run-Level bewertet'!M62:M64,1)&amp;"/3"</f>
        <v>0/3</v>
      </c>
      <c r="E22" s="6" t="str">
        <f>IF(D22="0/3","-",MIN('Run-Level bewertet'!N62:N64))</f>
        <v>-</v>
      </c>
      <c r="F22" s="6" t="str">
        <f>IF(D22="0/3","-",MIN('Run-Level bewertet'!O62:O64))</f>
        <v>-</v>
      </c>
      <c r="G22" s="6" t="str">
        <f>IF(D22="0/3","-",MIN('Run-Level bewertet'!P62:P64))</f>
        <v>-</v>
      </c>
      <c r="H22" s="6" t="str">
        <f>IF(D22="0/3","-",MIN('Run-Level bewertet'!Q62:Q64))</f>
        <v>-</v>
      </c>
      <c r="I22" s="6" t="str">
        <f>IF(D22="0/3","-",MIN('Run-Level bewertet'!R62:R64))</f>
        <v>-</v>
      </c>
      <c r="J22" s="2" t="str">
        <f t="shared" si="0"/>
        <v>0/3 · -</v>
      </c>
    </row>
    <row r="23" spans="1:10">
      <c r="A23" s="2" t="s">
        <v>238</v>
      </c>
      <c r="B23" s="2" t="s">
        <v>50</v>
      </c>
      <c r="C23" s="2" t="s">
        <v>15</v>
      </c>
      <c r="D23" s="6" t="str">
        <f>COUNTIF('Run-Level bewertet'!M65:M67,1)&amp;"/3"</f>
        <v>0/3</v>
      </c>
      <c r="E23" s="6" t="str">
        <f>IF(D23="0/3","-",MIN('Run-Level bewertet'!N65:N67))</f>
        <v>-</v>
      </c>
      <c r="F23" s="6" t="str">
        <f>IF(D23="0/3","-",MIN('Run-Level bewertet'!O65:O67))</f>
        <v>-</v>
      </c>
      <c r="G23" s="6" t="str">
        <f>IF(D23="0/3","-",MIN('Run-Level bewertet'!P65:P67))</f>
        <v>-</v>
      </c>
      <c r="H23" s="6" t="str">
        <f>IF(D23="0/3","-",MIN('Run-Level bewertet'!Q65:Q67))</f>
        <v>-</v>
      </c>
      <c r="I23" s="6" t="str">
        <f>IF(D23="0/3","-",MIN('Run-Level bewertet'!R65:R67))</f>
        <v>-</v>
      </c>
      <c r="J23" s="2" t="str">
        <f t="shared" si="0"/>
        <v>0/3 · -</v>
      </c>
    </row>
    <row r="24" spans="1:10">
      <c r="A24" s="2" t="s">
        <v>238</v>
      </c>
      <c r="B24" s="2" t="s">
        <v>50</v>
      </c>
      <c r="C24" s="2" t="s">
        <v>26</v>
      </c>
      <c r="D24" s="6" t="str">
        <f>COUNTIF('Run-Level bewertet'!M68:M70,1)&amp;"/3"</f>
        <v>0/3</v>
      </c>
      <c r="E24" s="6" t="str">
        <f>IF(D24="0/3","-",MIN('Run-Level bewertet'!N68:N70))</f>
        <v>-</v>
      </c>
      <c r="F24" s="6" t="str">
        <f>IF(D24="0/3","-",MIN('Run-Level bewertet'!O68:O70))</f>
        <v>-</v>
      </c>
      <c r="G24" s="6" t="str">
        <f>IF(D24="0/3","-",MIN('Run-Level bewertet'!P68:P70))</f>
        <v>-</v>
      </c>
      <c r="H24" s="6" t="str">
        <f>IF(D24="0/3","-",MIN('Run-Level bewertet'!Q68:Q70))</f>
        <v>-</v>
      </c>
      <c r="I24" s="6" t="str">
        <f>IF(D24="0/3","-",MIN('Run-Level bewertet'!R68:R70))</f>
        <v>-</v>
      </c>
      <c r="J24" s="2" t="str">
        <f t="shared" si="0"/>
        <v>0/3 · -</v>
      </c>
    </row>
    <row r="25" spans="1:10">
      <c r="A25" s="2" t="s">
        <v>238</v>
      </c>
      <c r="B25" s="2" t="s">
        <v>50</v>
      </c>
      <c r="C25" s="2" t="s">
        <v>33</v>
      </c>
      <c r="D25" s="6" t="str">
        <f>COUNTIF('Run-Level bewertet'!M71:M73,1)&amp;"/3"</f>
        <v>0/3</v>
      </c>
      <c r="E25" s="6" t="str">
        <f>IF(D25="0/3","-",MIN('Run-Level bewertet'!N71:N73))</f>
        <v>-</v>
      </c>
      <c r="F25" s="6" t="str">
        <f>IF(D25="0/3","-",MIN('Run-Level bewertet'!O71:O73))</f>
        <v>-</v>
      </c>
      <c r="G25" s="6" t="str">
        <f>IF(D25="0/3","-",MIN('Run-Level bewertet'!P71:P73))</f>
        <v>-</v>
      </c>
      <c r="H25" s="6" t="str">
        <f>IF(D25="0/3","-",MIN('Run-Level bewertet'!Q71:Q73))</f>
        <v>-</v>
      </c>
      <c r="I25" s="6" t="str">
        <f>IF(D25="0/3","-",MIN('Run-Level bewertet'!R71:R73))</f>
        <v>-</v>
      </c>
      <c r="J25" s="2" t="str">
        <f t="shared" si="0"/>
        <v>0/3 · -</v>
      </c>
    </row>
    <row r="27" spans="1:10" ht="381" customHeight="1">
      <c r="A27" s="8" t="s">
        <v>245</v>
      </c>
      <c r="B27" s="8"/>
      <c r="C27" s="8"/>
      <c r="D27" s="8"/>
      <c r="E27" s="8"/>
      <c r="F27" s="8"/>
      <c r="G27" s="8"/>
      <c r="H27" s="8"/>
      <c r="I27" s="8"/>
      <c r="J27" s="8"/>
    </row>
    <row r="28" spans="1:10" ht="326.25" customHeight="1">
      <c r="A28" s="8" t="s">
        <v>244</v>
      </c>
      <c r="B28" s="8"/>
      <c r="C28" s="8"/>
      <c r="D28" s="8"/>
      <c r="E28" s="8"/>
      <c r="F28" s="8"/>
      <c r="G28" s="8"/>
      <c r="H28" s="8"/>
      <c r="I28" s="8"/>
      <c r="J28" s="8"/>
    </row>
  </sheetData>
  <mergeCells count="2">
    <mergeCell ref="A27:J27"/>
    <mergeCell ref="A28:J28"/>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Rohdaten</vt:lpstr>
      <vt:lpstr>Run-Level bewertet</vt:lpstr>
      <vt:lpstr>Aggregiert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Balkan, Utku</cp:lastModifiedBy>
  <dcterms:modified xsi:type="dcterms:W3CDTF">2026-09-21T18:26:49Z</dcterms:modified>
</cp:coreProperties>
</file>
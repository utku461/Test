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ku Balkan\Downloads\"/>
    </mc:Choice>
  </mc:AlternateContent>
  <xr:revisionPtr revIDLastSave="0" documentId="13_ncr:1_{B3781867-5AD8-4A8A-B79A-4EFD5D8F62DD}" xr6:coauthVersionLast="47" xr6:coauthVersionMax="47" xr10:uidLastSave="{00000000-0000-0000-0000-000000000000}"/>
  <bookViews>
    <workbookView xWindow="-28920" yWindow="1395" windowWidth="29040" windowHeight="15720" activeTab="2" xr2:uid="{00000000-000D-0000-FFFF-FFFF00000000}"/>
  </bookViews>
  <sheets>
    <sheet name="Rohdaten" sheetId="1" r:id="rId1"/>
    <sheet name="Run-Level bewertet" sheetId="3" r:id="rId2"/>
    <sheet name="Aggregiert"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3" i="3" l="1"/>
  <c r="U73" i="3" s="1"/>
  <c r="O72" i="3"/>
  <c r="U72" i="3" s="1"/>
  <c r="O71" i="3"/>
  <c r="D25" i="4" s="1"/>
  <c r="O70" i="3"/>
  <c r="R70" i="3" s="1"/>
  <c r="O69" i="3"/>
  <c r="U69" i="3" s="1"/>
  <c r="O68" i="3"/>
  <c r="U68" i="3" s="1"/>
  <c r="O67" i="3"/>
  <c r="U67" i="3" s="1"/>
  <c r="O66" i="3"/>
  <c r="U66" i="3" s="1"/>
  <c r="S65" i="3"/>
  <c r="P65" i="3"/>
  <c r="O65" i="3"/>
  <c r="U65" i="3" s="1"/>
  <c r="S64" i="3"/>
  <c r="P64" i="3"/>
  <c r="O64" i="3"/>
  <c r="U64" i="3" s="1"/>
  <c r="O63" i="3"/>
  <c r="R63" i="3" s="1"/>
  <c r="O62" i="3"/>
  <c r="D22" i="4" s="1"/>
  <c r="T61" i="3"/>
  <c r="P61" i="3"/>
  <c r="O61" i="3"/>
  <c r="U61" i="3" s="1"/>
  <c r="O60" i="3"/>
  <c r="T60" i="3" s="1"/>
  <c r="O59" i="3"/>
  <c r="U59" i="3" s="1"/>
  <c r="O58" i="3"/>
  <c r="T58" i="3" s="1"/>
  <c r="T57" i="3"/>
  <c r="S57" i="3"/>
  <c r="Q57" i="3"/>
  <c r="P57" i="3"/>
  <c r="O57" i="3"/>
  <c r="U57" i="3" s="1"/>
  <c r="O56" i="3"/>
  <c r="R56" i="3" s="1"/>
  <c r="O55" i="3"/>
  <c r="U55" i="3" s="1"/>
  <c r="O54" i="3"/>
  <c r="T54" i="3" s="1"/>
  <c r="U53" i="3"/>
  <c r="T53" i="3"/>
  <c r="S53" i="3"/>
  <c r="Q53" i="3"/>
  <c r="P53" i="3"/>
  <c r="O53" i="3"/>
  <c r="D19" i="4" s="1"/>
  <c r="O52" i="3"/>
  <c r="U52" i="3" s="1"/>
  <c r="U51" i="3"/>
  <c r="T51" i="3"/>
  <c r="S51" i="3"/>
  <c r="R51" i="3"/>
  <c r="Q51" i="3"/>
  <c r="P51" i="3"/>
  <c r="O51" i="3"/>
  <c r="O50" i="3"/>
  <c r="D18" i="4" s="1"/>
  <c r="T49" i="3"/>
  <c r="Q49" i="3"/>
  <c r="P49" i="3"/>
  <c r="O49" i="3"/>
  <c r="S49" i="3" s="1"/>
  <c r="O48" i="3"/>
  <c r="U48" i="3" s="1"/>
  <c r="O47" i="3"/>
  <c r="D17" i="4" s="1"/>
  <c r="R46" i="3"/>
  <c r="Q46" i="3"/>
  <c r="O46" i="3"/>
  <c r="P46" i="3" s="1"/>
  <c r="O45" i="3"/>
  <c r="U45" i="3" s="1"/>
  <c r="U44" i="3"/>
  <c r="T44" i="3"/>
  <c r="S44" i="3"/>
  <c r="O44" i="3"/>
  <c r="R44" i="3" s="1"/>
  <c r="S43" i="3"/>
  <c r="O43" i="3"/>
  <c r="U43" i="3" s="1"/>
  <c r="Q42" i="3"/>
  <c r="O42" i="3"/>
  <c r="T42" i="3" s="1"/>
  <c r="U41" i="3"/>
  <c r="T41" i="3"/>
  <c r="S41" i="3"/>
  <c r="R41" i="3"/>
  <c r="Q41" i="3"/>
  <c r="P41" i="3"/>
  <c r="O41" i="3"/>
  <c r="D15" i="4" s="1"/>
  <c r="U40" i="3"/>
  <c r="S40" i="3"/>
  <c r="R40" i="3"/>
  <c r="Q40" i="3"/>
  <c r="P40" i="3"/>
  <c r="O40" i="3"/>
  <c r="T40" i="3" s="1"/>
  <c r="R39" i="3"/>
  <c r="O39" i="3"/>
  <c r="Q39" i="3" s="1"/>
  <c r="O38" i="3"/>
  <c r="R38" i="3" s="1"/>
  <c r="U37" i="3"/>
  <c r="T37" i="3"/>
  <c r="R37" i="3"/>
  <c r="P37" i="3"/>
  <c r="O37" i="3"/>
  <c r="S37" i="3" s="1"/>
  <c r="T36" i="3"/>
  <c r="O36" i="3"/>
  <c r="U36" i="3" s="1"/>
  <c r="O35" i="3"/>
  <c r="U35" i="3" s="1"/>
  <c r="U34" i="3"/>
  <c r="T34" i="3"/>
  <c r="S34" i="3"/>
  <c r="R34" i="3"/>
  <c r="Q34" i="3"/>
  <c r="O34" i="3"/>
  <c r="P34" i="3" s="1"/>
  <c r="T33" i="3"/>
  <c r="S33" i="3"/>
  <c r="R33" i="3"/>
  <c r="Q33" i="3"/>
  <c r="O33" i="3"/>
  <c r="U33" i="3" s="1"/>
  <c r="O32" i="3"/>
  <c r="D12" i="4" s="1"/>
  <c r="O31" i="3"/>
  <c r="S31" i="3" s="1"/>
  <c r="U30" i="3"/>
  <c r="S30" i="3"/>
  <c r="O30" i="3"/>
  <c r="T30" i="3" s="1"/>
  <c r="U29" i="3"/>
  <c r="T29" i="3"/>
  <c r="S29" i="3"/>
  <c r="R29" i="3"/>
  <c r="Q29" i="3"/>
  <c r="P29" i="3"/>
  <c r="O29" i="3"/>
  <c r="D11" i="4" s="1"/>
  <c r="O28" i="3"/>
  <c r="U28" i="3" s="1"/>
  <c r="U27" i="3"/>
  <c r="T27" i="3"/>
  <c r="S27" i="3"/>
  <c r="R27" i="3"/>
  <c r="Q27" i="3"/>
  <c r="P27" i="3"/>
  <c r="O27" i="3"/>
  <c r="U26" i="3"/>
  <c r="S26" i="3"/>
  <c r="R26" i="3"/>
  <c r="O26" i="3"/>
  <c r="D10" i="4" s="1"/>
  <c r="T25" i="3"/>
  <c r="Q25" i="3"/>
  <c r="P25" i="3"/>
  <c r="O25" i="3"/>
  <c r="S25" i="3" s="1"/>
  <c r="O24" i="3"/>
  <c r="T24" i="3" s="1"/>
  <c r="O23" i="3"/>
  <c r="U23" i="3" s="1"/>
  <c r="R22" i="3"/>
  <c r="Q22" i="3"/>
  <c r="O22" i="3"/>
  <c r="P22" i="3" s="1"/>
  <c r="O21" i="3"/>
  <c r="U21" i="3" s="1"/>
  <c r="U20" i="3"/>
  <c r="T20" i="3"/>
  <c r="S20" i="3"/>
  <c r="Q20" i="3"/>
  <c r="O20" i="3"/>
  <c r="D8" i="4" s="1"/>
  <c r="S19" i="3"/>
  <c r="O19" i="3"/>
  <c r="U19" i="3" s="1"/>
  <c r="O18" i="3"/>
  <c r="T18" i="3" s="1"/>
  <c r="U17" i="3"/>
  <c r="T17" i="3"/>
  <c r="S17" i="3"/>
  <c r="R17" i="3"/>
  <c r="Q17" i="3"/>
  <c r="P17" i="3"/>
  <c r="O17" i="3"/>
  <c r="D7" i="4" s="1"/>
  <c r="U16" i="3"/>
  <c r="S16" i="3"/>
  <c r="R16" i="3"/>
  <c r="Q16" i="3"/>
  <c r="P16" i="3"/>
  <c r="O16" i="3"/>
  <c r="T16" i="3" s="1"/>
  <c r="O15" i="3"/>
  <c r="Q15" i="3" s="1"/>
  <c r="O14" i="3"/>
  <c r="R14" i="3" s="1"/>
  <c r="U13" i="3"/>
  <c r="T13" i="3"/>
  <c r="R13" i="3"/>
  <c r="P13" i="3"/>
  <c r="O13" i="3"/>
  <c r="S13" i="3" s="1"/>
  <c r="T12" i="3"/>
  <c r="O12" i="3"/>
  <c r="U12" i="3" s="1"/>
  <c r="O11" i="3"/>
  <c r="D5" i="4" s="1"/>
  <c r="U10" i="3"/>
  <c r="T10" i="3"/>
  <c r="S10" i="3"/>
  <c r="R10" i="3"/>
  <c r="Q10" i="3"/>
  <c r="O10" i="3"/>
  <c r="P10" i="3" s="1"/>
  <c r="T9" i="3"/>
  <c r="S9" i="3"/>
  <c r="R9" i="3"/>
  <c r="Q9" i="3"/>
  <c r="P9" i="3"/>
  <c r="O9" i="3"/>
  <c r="U9" i="3" s="1"/>
  <c r="O8" i="3"/>
  <c r="R8" i="3" s="1"/>
  <c r="O7" i="3"/>
  <c r="Q7" i="3" s="1"/>
  <c r="U6" i="3"/>
  <c r="S6" i="3"/>
  <c r="O6" i="3"/>
  <c r="T6" i="3" s="1"/>
  <c r="U5" i="3"/>
  <c r="T5" i="3"/>
  <c r="S5" i="3"/>
  <c r="R5" i="3"/>
  <c r="Q5" i="3"/>
  <c r="P5" i="3"/>
  <c r="O5" i="3"/>
  <c r="D3" i="4" s="1"/>
  <c r="O4" i="3"/>
  <c r="U4" i="3" s="1"/>
  <c r="U3" i="3"/>
  <c r="T3" i="3"/>
  <c r="S3" i="3"/>
  <c r="R3" i="3"/>
  <c r="Q3" i="3"/>
  <c r="P3" i="3"/>
  <c r="O3" i="3"/>
  <c r="U2" i="3"/>
  <c r="S2" i="3"/>
  <c r="R2" i="3"/>
  <c r="O2" i="3"/>
  <c r="T2" i="3" s="1"/>
  <c r="H22" i="4" l="1"/>
  <c r="F5" i="4"/>
  <c r="I5" i="4"/>
  <c r="G5" i="4"/>
  <c r="H15" i="4"/>
  <c r="G15" i="4"/>
  <c r="F15" i="4"/>
  <c r="I15" i="4"/>
  <c r="H11" i="4"/>
  <c r="H19" i="4"/>
  <c r="I18" i="4"/>
  <c r="F18" i="4"/>
  <c r="I8" i="4"/>
  <c r="F8" i="4"/>
  <c r="E8" i="4"/>
  <c r="I7" i="4"/>
  <c r="F17" i="4"/>
  <c r="E17" i="4"/>
  <c r="J17" i="4" s="1"/>
  <c r="I12" i="4"/>
  <c r="G12" i="4"/>
  <c r="F12" i="4"/>
  <c r="R53" i="3"/>
  <c r="U56" i="3"/>
  <c r="Q60" i="3"/>
  <c r="T63" i="3"/>
  <c r="P67" i="3"/>
  <c r="S70" i="3"/>
  <c r="D2" i="4"/>
  <c r="R31" i="3"/>
  <c r="S7" i="3"/>
  <c r="H3" i="4" s="1"/>
  <c r="P28" i="3"/>
  <c r="P52" i="3"/>
  <c r="R11" i="3"/>
  <c r="T45" i="3"/>
  <c r="T4" i="3"/>
  <c r="S8" i="3"/>
  <c r="R15" i="3"/>
  <c r="S32" i="3"/>
  <c r="H12" i="4" s="1"/>
  <c r="U42" i="3"/>
  <c r="U25" i="3"/>
  <c r="U49" i="3"/>
  <c r="T56" i="3"/>
  <c r="S63" i="3"/>
  <c r="Q12" i="3"/>
  <c r="U32" i="3"/>
  <c r="T39" i="3"/>
  <c r="S46" i="3"/>
  <c r="P2" i="3"/>
  <c r="R12" i="3"/>
  <c r="U15" i="3"/>
  <c r="Q19" i="3"/>
  <c r="T22" i="3"/>
  <c r="P26" i="3"/>
  <c r="E10" i="4" s="1"/>
  <c r="R36" i="3"/>
  <c r="U39" i="3"/>
  <c r="Q43" i="3"/>
  <c r="T46" i="3"/>
  <c r="P50" i="3"/>
  <c r="E18" i="4" s="1"/>
  <c r="R60" i="3"/>
  <c r="U63" i="3"/>
  <c r="Q67" i="3"/>
  <c r="T70" i="3"/>
  <c r="D9" i="4"/>
  <c r="P45" i="3"/>
  <c r="Q21" i="3"/>
  <c r="S55" i="3"/>
  <c r="S4" i="3"/>
  <c r="U14" i="3"/>
  <c r="T21" i="3"/>
  <c r="S28" i="3"/>
  <c r="H10" i="4" s="1"/>
  <c r="U38" i="3"/>
  <c r="U18" i="3"/>
  <c r="S56" i="3"/>
  <c r="T8" i="3"/>
  <c r="P12" i="3"/>
  <c r="S15" i="3"/>
  <c r="T32" i="3"/>
  <c r="P36" i="3"/>
  <c r="S39" i="3"/>
  <c r="P60" i="3"/>
  <c r="U8" i="3"/>
  <c r="T15" i="3"/>
  <c r="P19" i="3"/>
  <c r="S22" i="3"/>
  <c r="H8" i="4" s="1"/>
  <c r="Q36" i="3"/>
  <c r="P43" i="3"/>
  <c r="E15" i="4" s="1"/>
  <c r="J15" i="4" s="1"/>
  <c r="Q2" i="3"/>
  <c r="S12" i="3"/>
  <c r="R19" i="3"/>
  <c r="U22" i="3"/>
  <c r="Q26" i="3"/>
  <c r="P33" i="3"/>
  <c r="S36" i="3"/>
  <c r="R43" i="3"/>
  <c r="U46" i="3"/>
  <c r="Q50" i="3"/>
  <c r="S60" i="3"/>
  <c r="R67" i="3"/>
  <c r="U70" i="3"/>
  <c r="D16" i="4"/>
  <c r="D23" i="4"/>
  <c r="R57" i="3"/>
  <c r="U60" i="3"/>
  <c r="Q64" i="3"/>
  <c r="T67" i="3"/>
  <c r="P71" i="3"/>
  <c r="E25" i="4" s="1"/>
  <c r="D6" i="4"/>
  <c r="P24" i="3"/>
  <c r="S58" i="3"/>
  <c r="P14" i="3"/>
  <c r="Q31" i="3"/>
  <c r="R50" i="3"/>
  <c r="S67" i="3"/>
  <c r="T19" i="3"/>
  <c r="P23" i="3"/>
  <c r="T43" i="3"/>
  <c r="P47" i="3"/>
  <c r="S50" i="3"/>
  <c r="P6" i="3"/>
  <c r="E3" i="4" s="1"/>
  <c r="J3" i="4" s="1"/>
  <c r="Q23" i="3"/>
  <c r="T26" i="3"/>
  <c r="I10" i="4" s="1"/>
  <c r="P30" i="3"/>
  <c r="E11" i="4" s="1"/>
  <c r="Q47" i="3"/>
  <c r="T50" i="3"/>
  <c r="P54" i="3"/>
  <c r="E19" i="4" s="1"/>
  <c r="R64" i="3"/>
  <c r="Q71" i="3"/>
  <c r="F25" i="4" s="1"/>
  <c r="D13" i="4"/>
  <c r="R71" i="3"/>
  <c r="G25" i="4" s="1"/>
  <c r="D20" i="4"/>
  <c r="S68" i="3"/>
  <c r="P55" i="3"/>
  <c r="R24" i="3"/>
  <c r="P21" i="3"/>
  <c r="S48" i="3"/>
  <c r="H17" i="4" s="1"/>
  <c r="Q6" i="3"/>
  <c r="F3" i="4" s="1"/>
  <c r="R23" i="3"/>
  <c r="Q30" i="3"/>
  <c r="F11" i="4" s="1"/>
  <c r="R47" i="3"/>
  <c r="U50" i="3"/>
  <c r="Q54" i="3"/>
  <c r="R6" i="3"/>
  <c r="G3" i="4" s="1"/>
  <c r="Q13" i="3"/>
  <c r="P20" i="3"/>
  <c r="S23" i="3"/>
  <c r="R30" i="3"/>
  <c r="G11" i="4" s="1"/>
  <c r="Q37" i="3"/>
  <c r="P44" i="3"/>
  <c r="S47" i="3"/>
  <c r="R54" i="3"/>
  <c r="G19" i="4" s="1"/>
  <c r="Q61" i="3"/>
  <c r="T64" i="3"/>
  <c r="P68" i="3"/>
  <c r="S71" i="3"/>
  <c r="H25" i="4" s="1"/>
  <c r="R61" i="3"/>
  <c r="Q68" i="3"/>
  <c r="T71" i="3"/>
  <c r="I25" i="4" s="1"/>
  <c r="U54" i="3"/>
  <c r="R48" i="3"/>
  <c r="G17" i="4" s="1"/>
  <c r="T23" i="3"/>
  <c r="Q44" i="3"/>
  <c r="T47" i="3"/>
  <c r="S54" i="3"/>
  <c r="R20" i="3"/>
  <c r="U47" i="3"/>
  <c r="P58" i="3"/>
  <c r="S61" i="3"/>
  <c r="R68" i="3"/>
  <c r="U71" i="3"/>
  <c r="D24" i="4"/>
  <c r="R58" i="3"/>
  <c r="Q65" i="3"/>
  <c r="T68" i="3"/>
  <c r="P72" i="3"/>
  <c r="R65" i="3"/>
  <c r="Q72" i="3"/>
  <c r="D14" i="4"/>
  <c r="R72" i="3"/>
  <c r="D21" i="4"/>
  <c r="R55" i="3"/>
  <c r="U58" i="3"/>
  <c r="Q62" i="3"/>
  <c r="F22" i="4" s="1"/>
  <c r="T65" i="3"/>
  <c r="P69" i="3"/>
  <c r="S72" i="3"/>
  <c r="D4" i="4"/>
  <c r="R62" i="3"/>
  <c r="G22" i="4" s="1"/>
  <c r="Q69" i="3"/>
  <c r="T72" i="3"/>
  <c r="P62" i="3"/>
  <c r="E22" i="4" s="1"/>
  <c r="J22" i="4" s="1"/>
  <c r="R7" i="3"/>
  <c r="S24" i="3"/>
  <c r="S14" i="3"/>
  <c r="R69" i="3"/>
  <c r="P48" i="3"/>
  <c r="P7" i="3"/>
  <c r="Q24" i="3"/>
  <c r="Q48" i="3"/>
  <c r="P38" i="3"/>
  <c r="Q55" i="3"/>
  <c r="F19" i="4" s="1"/>
  <c r="T48" i="3"/>
  <c r="I17" i="4" s="1"/>
  <c r="Q4" i="3"/>
  <c r="T7" i="3"/>
  <c r="I3" i="4" s="1"/>
  <c r="P11" i="3"/>
  <c r="E5" i="4" s="1"/>
  <c r="J5" i="4" s="1"/>
  <c r="R21" i="3"/>
  <c r="G8" i="4" s="1"/>
  <c r="J8" i="4" s="1"/>
  <c r="U24" i="3"/>
  <c r="Q28" i="3"/>
  <c r="F10" i="4" s="1"/>
  <c r="T31" i="3"/>
  <c r="I11" i="4" s="1"/>
  <c r="P35" i="3"/>
  <c r="S38" i="3"/>
  <c r="R45" i="3"/>
  <c r="Q52" i="3"/>
  <c r="T55" i="3"/>
  <c r="I19" i="4" s="1"/>
  <c r="P59" i="3"/>
  <c r="S62" i="3"/>
  <c r="R4" i="3"/>
  <c r="U7" i="3"/>
  <c r="Q11" i="3"/>
  <c r="T14" i="3"/>
  <c r="P18" i="3"/>
  <c r="E7" i="4" s="1"/>
  <c r="S21" i="3"/>
  <c r="R28" i="3"/>
  <c r="G10" i="4" s="1"/>
  <c r="U31" i="3"/>
  <c r="Q35" i="3"/>
  <c r="T38" i="3"/>
  <c r="P42" i="3"/>
  <c r="S45" i="3"/>
  <c r="R52" i="3"/>
  <c r="G18" i="4" s="1"/>
  <c r="Q59" i="3"/>
  <c r="T62" i="3"/>
  <c r="I22" i="4" s="1"/>
  <c r="P66" i="3"/>
  <c r="S69" i="3"/>
  <c r="R59" i="3"/>
  <c r="U62" i="3"/>
  <c r="Q66" i="3"/>
  <c r="T69" i="3"/>
  <c r="P73" i="3"/>
  <c r="R66" i="3"/>
  <c r="Q73" i="3"/>
  <c r="R73" i="3"/>
  <c r="Q58" i="3"/>
  <c r="P31" i="3"/>
  <c r="Q14" i="3"/>
  <c r="Q38" i="3"/>
  <c r="P4" i="3"/>
  <c r="Q45" i="3"/>
  <c r="Q18" i="3"/>
  <c r="F7" i="4" s="1"/>
  <c r="R35" i="3"/>
  <c r="S52" i="3"/>
  <c r="H18" i="4" s="1"/>
  <c r="P8" i="3"/>
  <c r="S11" i="3"/>
  <c r="H5" i="4" s="1"/>
  <c r="R18" i="3"/>
  <c r="G7" i="4" s="1"/>
  <c r="T28" i="3"/>
  <c r="P32" i="3"/>
  <c r="E12" i="4" s="1"/>
  <c r="J12" i="4" s="1"/>
  <c r="S35" i="3"/>
  <c r="R42" i="3"/>
  <c r="T52" i="3"/>
  <c r="P56" i="3"/>
  <c r="S59" i="3"/>
  <c r="Q8" i="3"/>
  <c r="T11" i="3"/>
  <c r="P15" i="3"/>
  <c r="S18" i="3"/>
  <c r="H7" i="4" s="1"/>
  <c r="R25" i="3"/>
  <c r="Q32" i="3"/>
  <c r="T35" i="3"/>
  <c r="P39" i="3"/>
  <c r="S42" i="3"/>
  <c r="R49" i="3"/>
  <c r="Q56" i="3"/>
  <c r="T59" i="3"/>
  <c r="P63" i="3"/>
  <c r="S66" i="3"/>
  <c r="U11" i="3"/>
  <c r="R32" i="3"/>
  <c r="Q63" i="3"/>
  <c r="T66" i="3"/>
  <c r="P70" i="3"/>
  <c r="S73" i="3"/>
  <c r="Q70" i="3"/>
  <c r="T73" i="3"/>
  <c r="J25" i="4" l="1"/>
  <c r="J10" i="4"/>
  <c r="J7" i="4"/>
  <c r="J11" i="4"/>
  <c r="J18" i="4"/>
  <c r="J19" i="4"/>
  <c r="I21" i="4"/>
  <c r="H21" i="4"/>
  <c r="G21" i="4"/>
  <c r="F21" i="4"/>
  <c r="E21" i="4"/>
  <c r="J21" i="4" s="1"/>
  <c r="I9" i="4"/>
  <c r="H9" i="4"/>
  <c r="G9" i="4"/>
  <c r="F9" i="4"/>
  <c r="E9" i="4"/>
  <c r="J9" i="4" s="1"/>
  <c r="I6" i="4"/>
  <c r="H6" i="4"/>
  <c r="G6" i="4"/>
  <c r="F6" i="4"/>
  <c r="E6" i="4"/>
  <c r="J6" i="4" s="1"/>
  <c r="I13" i="4"/>
  <c r="H13" i="4"/>
  <c r="G13" i="4"/>
  <c r="F13" i="4"/>
  <c r="E13" i="4"/>
  <c r="J13" i="4" s="1"/>
  <c r="I2" i="4"/>
  <c r="H2" i="4"/>
  <c r="G2" i="4"/>
  <c r="F2" i="4"/>
  <c r="E2" i="4"/>
  <c r="J2" i="4" s="1"/>
  <c r="I24" i="4"/>
  <c r="H24" i="4"/>
  <c r="G24" i="4"/>
  <c r="F24" i="4"/>
  <c r="E24" i="4"/>
  <c r="J24" i="4" s="1"/>
  <c r="I16" i="4"/>
  <c r="H16" i="4"/>
  <c r="G16" i="4"/>
  <c r="F16" i="4"/>
  <c r="E16" i="4"/>
  <c r="J16" i="4" s="1"/>
  <c r="I23" i="4"/>
  <c r="H23" i="4"/>
  <c r="G23" i="4"/>
  <c r="F23" i="4"/>
  <c r="E23" i="4"/>
  <c r="J23" i="4" s="1"/>
  <c r="I14" i="4"/>
  <c r="H14" i="4"/>
  <c r="G14" i="4"/>
  <c r="F14" i="4"/>
  <c r="E14" i="4"/>
  <c r="J14" i="4" s="1"/>
  <c r="I4" i="4"/>
  <c r="H4" i="4"/>
  <c r="G4" i="4"/>
  <c r="F4" i="4"/>
  <c r="E4" i="4"/>
  <c r="J4" i="4" s="1"/>
  <c r="I20" i="4"/>
  <c r="H20" i="4"/>
  <c r="G20" i="4"/>
  <c r="F20" i="4"/>
  <c r="E20" i="4"/>
  <c r="J20" i="4" s="1"/>
</calcChain>
</file>

<file path=xl/sharedStrings.xml><?xml version="1.0" encoding="utf-8"?>
<sst xmlns="http://schemas.openxmlformats.org/spreadsheetml/2006/main" count="1632" uniqueCount="350">
  <si>
    <t>RunID</t>
  </si>
  <si>
    <t>Komponente</t>
  </si>
  <si>
    <t>Aktionsklasse</t>
  </si>
  <si>
    <t>LoggingProfil</t>
  </si>
  <si>
    <t>Wiederholung</t>
  </si>
  <si>
    <t>MFTStatus</t>
  </si>
  <si>
    <t>ErwarteteDatei</t>
  </si>
  <si>
    <t>ParentPath</t>
  </si>
  <si>
    <t>FileName</t>
  </si>
  <si>
    <t>FileSize</t>
  </si>
  <si>
    <t>InUse</t>
  </si>
  <si>
    <t>Created0x10UTC</t>
  </si>
  <si>
    <t>Created0x10Local</t>
  </si>
  <si>
    <t>SourceMFT</t>
  </si>
  <si>
    <t>CSCRIPT-A1-P0-R01</t>
  </si>
  <si>
    <t>CSCRIPT</t>
  </si>
  <si>
    <t>A1</t>
  </si>
  <si>
    <t>P0</t>
  </si>
  <si>
    <t>R01</t>
  </si>
  <si>
    <t>MFT-Eintrag vorhanden</t>
  </si>
  <si>
    <t>A1_Cscript_Result.txt</t>
  </si>
  <si>
    <t>.\Lab\Outputs\A1</t>
  </si>
  <si>
    <t>55</t>
  </si>
  <si>
    <t>2026-08-21 10:34:08.6949207</t>
  </si>
  <si>
    <t>2026-08-21 12:34:08.6949207</t>
  </si>
  <si>
    <t>E:\KAPE_Runs\CSCRIPT-A1-P0\CSCRIPT-A1-P0-R01\KAPE\C\$MFT</t>
  </si>
  <si>
    <t>CSCRIPT-A1-P0-R02</t>
  </si>
  <si>
    <t>R02</t>
  </si>
  <si>
    <t>2026-08-21 10:38:57.4727276</t>
  </si>
  <si>
    <t>2026-08-21 12:38:57.4727276</t>
  </si>
  <si>
    <t>E:\KAPE_Runs\CSCRIPT-A1-P0\CSCRIPT-A1-P0-R02\KAPE\C\$MFT</t>
  </si>
  <si>
    <t>CSCRIPT-A1-P0-R03</t>
  </si>
  <si>
    <t>R03</t>
  </si>
  <si>
    <t>2026-08-21 10:43:22.4804932</t>
  </si>
  <si>
    <t>2026-08-21 12:43:22.4804932</t>
  </si>
  <si>
    <t>E:\KAPE_Runs\CSCRIPT-A1-P0\CSCRIPT-A1-P0-R03\KAPE\C\$MFT</t>
  </si>
  <si>
    <t>CSCRIPT-A1-P1-R01</t>
  </si>
  <si>
    <t>P1</t>
  </si>
  <si>
    <t>2026-08-21 12:40:20.1936218</t>
  </si>
  <si>
    <t>2026-08-21 14:40:20.1936218</t>
  </si>
  <si>
    <t>E:\KAPE_Runs\CSCRIPT-A1-P1\CSCRIPT-A1-P1-R01\KAPE\C\$MFT</t>
  </si>
  <si>
    <t>CSCRIPT-A1-P1-R02</t>
  </si>
  <si>
    <t>2026-08-21 12:45:19.3260917</t>
  </si>
  <si>
    <t>2026-08-21 14:45:19.3260917</t>
  </si>
  <si>
    <t>E:\KAPE_Runs\CSCRIPT-A1-P1\CSCRIPT-A1-P1-R02\KAPE\C\$MFT</t>
  </si>
  <si>
    <t>CSCRIPT-A1-P1-R03</t>
  </si>
  <si>
    <t>2026-08-21 12:50:00.4119058</t>
  </si>
  <si>
    <t>2026-08-21 14:50:00.4119058</t>
  </si>
  <si>
    <t>E:\KAPE_Runs\CSCRIPT-A1-P1\CSCRIPT-A1-P1-R03\KAPE\C\$MFT</t>
  </si>
  <si>
    <t>CSCRIPT-A1-P2-R01</t>
  </si>
  <si>
    <t>P2</t>
  </si>
  <si>
    <t>2026-08-21 16:53:28.7476111</t>
  </si>
  <si>
    <t>2026-08-21 18:53:28.7476111</t>
  </si>
  <si>
    <t>E:\KAPE_Runs\CSCRIPT-A1-P2\CSCRIPT-A1-P2-R01\KAPE\C\$MFT</t>
  </si>
  <si>
    <t>CSCRIPT-A1-P2-R02</t>
  </si>
  <si>
    <t>2026-08-21 17:01:51.8744989</t>
  </si>
  <si>
    <t>2026-08-21 19:01:51.8744989</t>
  </si>
  <si>
    <t>E:\KAPE_Runs\CSCRIPT-A1-P2\CSCRIPT-A1-P2-R02\KAPE\C\$MFT</t>
  </si>
  <si>
    <t>CSCRIPT-A1-P2-R03</t>
  </si>
  <si>
    <t>2026-08-21 17:14:02.5786488</t>
  </si>
  <si>
    <t>2026-08-21 19:14:02.5786488</t>
  </si>
  <si>
    <t>E:\KAPE_Runs\CSCRIPT-A1-P2\CSCRIPT-A1-P2-R03\KAPE\C\$MFT</t>
  </si>
  <si>
    <t>CSCRIPT-A2-P0-R01</t>
  </si>
  <si>
    <t>A2</t>
  </si>
  <si>
    <t>a2_download_test_v1.txt</t>
  </si>
  <si>
    <t>.\Lab\Outputs\A2</t>
  </si>
  <si>
    <t>125</t>
  </si>
  <si>
    <t>2026-08-21 10:47:53.9226919</t>
  </si>
  <si>
    <t>2026-08-21 12:47:53.9226919</t>
  </si>
  <si>
    <t>E:\KAPE_Runs\CSCRIPT-A2-P0\CSCRIPT-A2-P0-R01\KAPE\C\$MFT</t>
  </si>
  <si>
    <t>CSCRIPT-A2-P0-R02</t>
  </si>
  <si>
    <t>2026-08-21 10:52:27.5951894</t>
  </si>
  <si>
    <t>2026-08-21 12:52:27.5951894</t>
  </si>
  <si>
    <t>E:\KAPE_Runs\CSCRIPT-A2-P0\CSCRIPT-A2-P0-R02\KAPE\C\$MFT</t>
  </si>
  <si>
    <t>CSCRIPT-A2-P0-R03</t>
  </si>
  <si>
    <t>2026-08-21 10:57:20.2346840</t>
  </si>
  <si>
    <t>2026-08-21 12:57:20.2346840</t>
  </si>
  <si>
    <t>E:\KAPE_Runs\CSCRIPT-A2-P0\CSCRIPT-A2-P0-R03\KAPE\C\$MFT</t>
  </si>
  <si>
    <t>CSCRIPT-A2-P1-R01</t>
  </si>
  <si>
    <t>2026-08-21 12:57:19.1983477</t>
  </si>
  <si>
    <t>2026-08-21 14:57:19.1983477</t>
  </si>
  <si>
    <t>E:\KAPE_Runs\CSCRIPT-A2-P1\CSCRIPT-A2-P1-R01\KAPE\C\$MFT</t>
  </si>
  <si>
    <t>CSCRIPT-A2-P1-R02</t>
  </si>
  <si>
    <t>2026-08-21 13:01:54.6983000</t>
  </si>
  <si>
    <t>2026-08-21 15:01:54.6983000</t>
  </si>
  <si>
    <t>E:\KAPE_Runs\CSCRIPT-A2-P1\CSCRIPT-A2-P1-R02\KAPE\C\$MFT</t>
  </si>
  <si>
    <t>CSCRIPT-A2-P1-R03</t>
  </si>
  <si>
    <t>2026-08-21 13:08:07.5385681</t>
  </si>
  <si>
    <t>2026-08-21 15:08:07.5385681</t>
  </si>
  <si>
    <t>E:\KAPE_Runs\CSCRIPT-A2-P1\CSCRIPT-A2-P1-R03\KAPE\C\$MFT</t>
  </si>
  <si>
    <t>CSCRIPT-A2-P2-R01</t>
  </si>
  <si>
    <t>2026-08-21 17:21:27.6208037</t>
  </si>
  <si>
    <t>2026-08-21 19:21:27.6208037</t>
  </si>
  <si>
    <t>E:\KAPE_Runs\CSCRIPT-A2-P2\CSCRIPT-A2-P2-R01\KAPE\C\$MFT</t>
  </si>
  <si>
    <t>CSCRIPT-A2-P2-R02</t>
  </si>
  <si>
    <t>2026-08-21 17:30:52.2937167</t>
  </si>
  <si>
    <t>2026-08-21 19:30:52.2937167</t>
  </si>
  <si>
    <t>E:\KAPE_Runs\CSCRIPT-A2-P2\CSCRIPT-A2-P2-R02\KAPE\C\$MFT</t>
  </si>
  <si>
    <t>CSCRIPT-A2-P2-R03</t>
  </si>
  <si>
    <t>2026-08-21 17:38:14.0260727</t>
  </si>
  <si>
    <t>2026-08-21 19:38:14.0260727</t>
  </si>
  <si>
    <t>E:\KAPE_Runs\CSCRIPT-A2-P2\CSCRIPT-A2-P2-R03\KAPE\C\$MFT</t>
  </si>
  <si>
    <t>MSHTA-A1-P0-R01</t>
  </si>
  <si>
    <t>MSHTA</t>
  </si>
  <si>
    <t>A1_Mshta_Result.txt</t>
  </si>
  <si>
    <t>53</t>
  </si>
  <si>
    <t>2026-08-21 09:21:11.2059743</t>
  </si>
  <si>
    <t>2026-08-21 11:21:11.2059743</t>
  </si>
  <si>
    <t>E:\KAPE_Runs\MSHTA-A1-P0\MSHTA-A1-P0-R01\KAPE\C\$MFT</t>
  </si>
  <si>
    <t>MSHTA-A1-P0-R02</t>
  </si>
  <si>
    <t>2026-08-21 09:28:03.5601049</t>
  </si>
  <si>
    <t>2026-08-21 11:28:03.5601049</t>
  </si>
  <si>
    <t>E:\KAPE_Runs\MSHTA-A1-P0\MSHTA-A1-P0-R02\KAPE\C\$MFT</t>
  </si>
  <si>
    <t>MSHTA-A1-P0-R03</t>
  </si>
  <si>
    <t>2026-08-21 09:38:24.8179561</t>
  </si>
  <si>
    <t>2026-08-21 11:38:24.8179561</t>
  </si>
  <si>
    <t>E:\KAPE_Runs\MSHTA-A1-P0\MSHTA-A1-P0-R03\KAPE\C\$MFT</t>
  </si>
  <si>
    <t>MSHTA-A1-P1-R01</t>
  </si>
  <si>
    <t>2026-08-21 11:38:19.2560052</t>
  </si>
  <si>
    <t>2026-08-21 13:38:19.2560052</t>
  </si>
  <si>
    <t>E:\KAPE_Runs\MSHTA-A1-P1\MSHTA-A1-P1-R01\KAPE\C\$MFT</t>
  </si>
  <si>
    <t>MSHTA-A1-P1-R02</t>
  </si>
  <si>
    <t>2026-08-21 11:42:59.6682837</t>
  </si>
  <si>
    <t>2026-08-21 13:42:59.6682837</t>
  </si>
  <si>
    <t>E:\KAPE_Runs\MSHTA-A1-P1\MSHTA-A1-P1-R02\KAPE\C\$MFT</t>
  </si>
  <si>
    <t>MSHTA-A1-P1-R03</t>
  </si>
  <si>
    <t>2026-08-21 11:47:40.5303051</t>
  </si>
  <si>
    <t>2026-08-21 13:47:40.5303051</t>
  </si>
  <si>
    <t>E:\KAPE_Runs\MSHTA-A1-P1\MSHTA-A1-P1-R03\KAPE\C\$MFT</t>
  </si>
  <si>
    <t>MSHTA-A1-P2-R01</t>
  </si>
  <si>
    <t>2026-08-21 14:39:29.6108880</t>
  </si>
  <si>
    <t>2026-08-21 16:39:29.6108880</t>
  </si>
  <si>
    <t>E:\KAPE_Runs\MSHTA-A1-P2\MSHTA-A1-P2-R01\KAPE\C\$MFT</t>
  </si>
  <si>
    <t>MSHTA-A1-P2-R02</t>
  </si>
  <si>
    <t>2026-08-21 14:56:25.2138348</t>
  </si>
  <si>
    <t>2026-08-21 16:56:25.2138348</t>
  </si>
  <si>
    <t>E:\KAPE_Runs\MSHTA-A1-P2\MSHTA-A1-P2-R02\KAPE\C\$MFT</t>
  </si>
  <si>
    <t>MSHTA-A1-P2-R03</t>
  </si>
  <si>
    <t>2026-08-21 15:27:41.2949371</t>
  </si>
  <si>
    <t>2026-08-21 17:27:41.2949371</t>
  </si>
  <si>
    <t>E:\KAPE_Runs\MSHTA-A1-P2\MSHTA-A1-P2-R03\KAPE\C\$MFT</t>
  </si>
  <si>
    <t>MSHTA-A2-P0-R01</t>
  </si>
  <si>
    <t>2026-08-21 09:44:14.1036135</t>
  </si>
  <si>
    <t>2026-08-21 11:44:14.1036135</t>
  </si>
  <si>
    <t>E:\KAPE_Runs\MSHTA-A2-P0\MSHTA-A2-P0-R01\KAPE\C\$MFT</t>
  </si>
  <si>
    <t>MSHTA-A2-P0-R02</t>
  </si>
  <si>
    <t>2026-08-21 09:50:47.1854593</t>
  </si>
  <si>
    <t>2026-08-21 11:50:47.1854593</t>
  </si>
  <si>
    <t>E:\KAPE_Runs\MSHTA-A2-P0\MSHTA-A2-P0-R02\KAPE\C\$MFT</t>
  </si>
  <si>
    <t>MSHTA-A2-P0-R03</t>
  </si>
  <si>
    <t>2026-08-21 09:55:54.5513237</t>
  </si>
  <si>
    <t>2026-08-21 11:55:54.5513237</t>
  </si>
  <si>
    <t>E:\KAPE_Runs\MSHTA-A2-P0\MSHTA-A2-P0-R03\KAPE\C\$MFT</t>
  </si>
  <si>
    <t>MSHTA-A2-P1-R01</t>
  </si>
  <si>
    <t>2026-08-21 11:52:49.2510163</t>
  </si>
  <si>
    <t>2026-08-21 13:52:49.2510163</t>
  </si>
  <si>
    <t>E:\KAPE_Runs\MSHTA-A2-P1\MSHTA-A2-P1-R01\KAPE\C\$MFT</t>
  </si>
  <si>
    <t>MSHTA-A2-P1-R02</t>
  </si>
  <si>
    <t>2026-08-21 11:59:12.5635179</t>
  </si>
  <si>
    <t>2026-08-21 13:59:12.5635179</t>
  </si>
  <si>
    <t>E:\KAPE_Runs\MSHTA-A2-P1\MSHTA-A2-P1-R02\KAPE\C\$MFT</t>
  </si>
  <si>
    <t>MSHTA-A2-P1-R03</t>
  </si>
  <si>
    <t>2026-08-21 12:03:53.6588441</t>
  </si>
  <si>
    <t>2026-08-21 14:03:53.6588441</t>
  </si>
  <si>
    <t>E:\KAPE_Runs\MSHTA-A2-P1\MSHTA-A2-P1-R03\KAPE\C\$MFT</t>
  </si>
  <si>
    <t>MSHTA-A2-P2-R01</t>
  </si>
  <si>
    <t>2026-08-09 11:20:25.0050342</t>
  </si>
  <si>
    <t>2026-08-09 13:20:25.0050342</t>
  </si>
  <si>
    <t>E:\KAPE_Runs\MSHTA-A2-P2\MSHTA-A2-P2-R01\KAPE\C\$MFT</t>
  </si>
  <si>
    <t>MSHTA-A2-P2-R02</t>
  </si>
  <si>
    <t>2026-08-21 15:43:02.7851648</t>
  </si>
  <si>
    <t>2026-08-21 17:43:02.7851648</t>
  </si>
  <si>
    <t>E:\KAPE_Runs\MSHTA-A2-P2\MSHTA-A2-P2-R02\KAPE\C\$MFT</t>
  </si>
  <si>
    <t>MSHTA-A2-P2-R03</t>
  </si>
  <si>
    <t>2026-08-21 15:51:32.6421732</t>
  </si>
  <si>
    <t>2026-08-21 17:51:32.6421732</t>
  </si>
  <si>
    <t>E:\KAPE_Runs\MSHTA-A2-P2\MSHTA-A2-P2-R03\KAPE\C\$MFT</t>
  </si>
  <si>
    <t>PS-A1-P0-R01</t>
  </si>
  <si>
    <t>PS</t>
  </si>
  <si>
    <t>A1_PowerShell_Result.txt</t>
  </si>
  <si>
    <t>61</t>
  </si>
  <si>
    <t>2026-08-21 08:29:09.8134354</t>
  </si>
  <si>
    <t>2026-08-21 10:29:09.8134354</t>
  </si>
  <si>
    <t>E:\KAPE_Runs\PS-A1-P0\PS-A1-P0-R01\KAPE\C\$MFT</t>
  </si>
  <si>
    <t>PS-A1-P0-R02</t>
  </si>
  <si>
    <t>2026-08-21 08:46:08.7664420</t>
  </si>
  <si>
    <t>2026-08-21 10:46:08.7664420</t>
  </si>
  <si>
    <t>E:\KAPE_Runs\PS-A1-P0\PS-A1-P0-R02\KAPE\C\$MFT</t>
  </si>
  <si>
    <t>PS-A1-P0-R03</t>
  </si>
  <si>
    <t>2026-08-21 08:51:13.1433463</t>
  </si>
  <si>
    <t>2026-08-21 10:51:13.1433463</t>
  </si>
  <si>
    <t>E:\KAPE_Runs\PS-A1-P0\PS-A1-P0-R03\KAPE\C\$MFT</t>
  </si>
  <si>
    <t>PS-A1-P1-R01</t>
  </si>
  <si>
    <t>2026-08-21 11:05:18.9226177</t>
  </si>
  <si>
    <t>2026-08-21 13:05:18.9226177</t>
  </si>
  <si>
    <t>E:\KAPE_Runs\PS-A1-P1\PS-A1-P1-R01\KAPE\C\$MFT</t>
  </si>
  <si>
    <t>PS-A1-P1-R02</t>
  </si>
  <si>
    <t>2026-08-21 11:10:43.0921312</t>
  </si>
  <si>
    <t>2026-08-21 13:10:43.0921312</t>
  </si>
  <si>
    <t>E:\KAPE_Runs\PS-A1-P1\PS-A1-P1-R02\KAPE\C\$MFT</t>
  </si>
  <si>
    <t>PS-A1-P1-R03</t>
  </si>
  <si>
    <t>2026-08-21 11:18:58.0930584</t>
  </si>
  <si>
    <t>2026-08-21 13:18:58.0930584</t>
  </si>
  <si>
    <t>E:\KAPE_Runs\PS-A1-P1\PS-A1-P1-R03\KAPE\C\$MFT</t>
  </si>
  <si>
    <t>PS-A1-P2-R01</t>
  </si>
  <si>
    <t>2026-08-21 13:44:00.8641574</t>
  </si>
  <si>
    <t>2026-08-21 15:44:00.8641574</t>
  </si>
  <si>
    <t>E:\KAPE_Runs\PS-A1-P2\PS-A1-P2-R01\KAPE\C\$MFT</t>
  </si>
  <si>
    <t>PS-A1-P2-R02</t>
  </si>
  <si>
    <t>2026-08-21 13:53:44.6797232</t>
  </si>
  <si>
    <t>2026-08-21 15:53:44.6797232</t>
  </si>
  <si>
    <t>E:\KAPE_Runs\PS-A1-P2\PS-A1-P2-R02\KAPE\C\$MFT</t>
  </si>
  <si>
    <t>PS-A1-P2-R03</t>
  </si>
  <si>
    <t>2026-08-21 14:01:05.4775298</t>
  </si>
  <si>
    <t>2026-08-21 16:01:05.4775298</t>
  </si>
  <si>
    <t>E:\KAPE_Runs\PS-A1-P2\PS-A1-P2-R03\KAPE\C\$MFT</t>
  </si>
  <si>
    <t>PS-A2-P0-R01</t>
  </si>
  <si>
    <t>2026-08-21 09:00:06.9015940</t>
  </si>
  <si>
    <t>2026-08-21 11:00:06.9015940</t>
  </si>
  <si>
    <t>E:\KAPE_Runs\PS-A2-P0\PS-A2-P0-R01\KAPE\C\$MFT</t>
  </si>
  <si>
    <t>PS-A2-P0-R02</t>
  </si>
  <si>
    <t>2026-08-21 09:08:25.9494755</t>
  </si>
  <si>
    <t>2026-08-21 11:08:25.9494755</t>
  </si>
  <si>
    <t>E:\KAPE_Runs\PS-A2-P0\PS-A2-P0-R02\KAPE\C\$MFT</t>
  </si>
  <si>
    <t>PS-A2-P0-R03</t>
  </si>
  <si>
    <t>2026-08-21 09:14:21.9252563</t>
  </si>
  <si>
    <t>2026-08-21 11:14:21.9252563</t>
  </si>
  <si>
    <t>E:\KAPE_Runs\PS-A2-P0\PS-A2-P0-R03\KAPE\C\$MFT</t>
  </si>
  <si>
    <t>PS-A2-P1-R01</t>
  </si>
  <si>
    <t>2026-08-21 11:23:27.0402269</t>
  </si>
  <si>
    <t>2026-08-21 13:23:27.0402269</t>
  </si>
  <si>
    <t>E:\KAPE_Runs\PS-A2-P1\PS-A2-P1-R01\KAPE\C\$MFT</t>
  </si>
  <si>
    <t>PS-A2-P1-R02</t>
  </si>
  <si>
    <t>2026-08-21 11:28:57.6044239</t>
  </si>
  <si>
    <t>2026-08-21 13:28:57.6044239</t>
  </si>
  <si>
    <t>E:\KAPE_Runs\PS-A2-P1\PS-A2-P1-R02\KAPE\C\$MFT</t>
  </si>
  <si>
    <t>PS-A2-P1-R03</t>
  </si>
  <si>
    <t>2026-08-21 11:33:28.7210070</t>
  </si>
  <si>
    <t>2026-08-21 13:33:28.7210070</t>
  </si>
  <si>
    <t>E:\KAPE_Runs\PS-A2-P1\PS-A2-P1-R03\KAPE\C\$MFT</t>
  </si>
  <si>
    <t>PS-A2-P2-R01</t>
  </si>
  <si>
    <t>2026-08-21 14:09:30.7965149</t>
  </si>
  <si>
    <t>2026-08-21 16:09:30.7965149</t>
  </si>
  <si>
    <t>E:\KAPE_Runs\PS-A2-P2\PS-A2-P2-R01\KAPE\C\$MFT</t>
  </si>
  <si>
    <t>PS-A2-P2-R02</t>
  </si>
  <si>
    <t>2026-08-21 14:18:32.3932950</t>
  </si>
  <si>
    <t>2026-08-21 16:18:32.3932950</t>
  </si>
  <si>
    <t>E:\KAPE_Runs\PS-A2-P2\PS-A2-P2-R02\KAPE\C\$MFT</t>
  </si>
  <si>
    <t>PS-A2-P2-R03</t>
  </si>
  <si>
    <t>2026-08-21 14:29:22.2094168</t>
  </si>
  <si>
    <t>2026-08-21 16:29:22.2094168</t>
  </si>
  <si>
    <t>E:\KAPE_Runs\PS-A2-P2\PS-A2-P2-R03\KAPE\C\$MFT</t>
  </si>
  <si>
    <t>REG-A1-P0-R01</t>
  </si>
  <si>
    <t>REG</t>
  </si>
  <si>
    <t>A1_Regsvr32_Result.txt</t>
  </si>
  <si>
    <t>56</t>
  </si>
  <si>
    <t>2026-08-21 10:02:11.2723571</t>
  </si>
  <si>
    <t>2026-08-21 12:02:11.2723571</t>
  </si>
  <si>
    <t>E:\KAPE_Runs\REG-A1-P0\REG-A1-P0-R01\KAPE\C\$MFT</t>
  </si>
  <si>
    <t>REG-A1-P0-R02</t>
  </si>
  <si>
    <t>2026-08-21 10:07:10.9104456</t>
  </si>
  <si>
    <t>2026-08-21 12:07:10.9104456</t>
  </si>
  <si>
    <t>E:\KAPE_Runs\REG-A1-P0\REG-A1-P0-R02\KAPE\C\$MFT</t>
  </si>
  <si>
    <t>REG-A1-P0-R03</t>
  </si>
  <si>
    <t>2026-08-21 10:11:33.6995624</t>
  </si>
  <si>
    <t>2026-08-21 12:11:33.6995624</t>
  </si>
  <si>
    <t>E:\KAPE_Runs\REG-A1-P0\REG-A1-P0-R03\KAPE\C\$MFT</t>
  </si>
  <si>
    <t>REG-A1-P1-R01</t>
  </si>
  <si>
    <t>2026-08-21 12:10:29.1507754</t>
  </si>
  <si>
    <t>2026-08-21 14:10:29.1507754</t>
  </si>
  <si>
    <t>E:\KAPE_Runs\REG-A1-P1\REG-A1-P1-R01\KAPE\C\$MFT</t>
  </si>
  <si>
    <t>REG-A1-P1-R02</t>
  </si>
  <si>
    <t>2026-08-21 12:16:29.9664579</t>
  </si>
  <si>
    <t>2026-08-21 14:16:29.9664579</t>
  </si>
  <si>
    <t>E:\KAPE_Runs\REG-A1-P1\REG-A1-P1-R02\KAPE\C\$MFT</t>
  </si>
  <si>
    <t>REG-A1-P1-R03</t>
  </si>
  <si>
    <t>2026-08-21 12:20:47.0491590</t>
  </si>
  <si>
    <t>2026-08-21 14:20:47.0491590</t>
  </si>
  <si>
    <t>E:\KAPE_Runs\REG-A1-P1\REG-A1-P1-R03\KAPE\C\$MFT</t>
  </si>
  <si>
    <t>REG-A1-P2-R01</t>
  </si>
  <si>
    <t>2026-08-21 15:59:51.1846590</t>
  </si>
  <si>
    <t>2026-08-21 17:59:51.1846590</t>
  </si>
  <si>
    <t>E:\KAPE_Runs\REG-A1-P2\REG-A1-P2-R01\KAPE\C\$MFT</t>
  </si>
  <si>
    <t>REG-A1-P2-R02</t>
  </si>
  <si>
    <t>2026-08-21 16:06:54.9954639</t>
  </si>
  <si>
    <t>2026-08-21 18:06:54.9954639</t>
  </si>
  <si>
    <t>E:\KAPE_Runs\REG-A1-P2\REG-A1-P2-R02\KAPE\C\$MFT</t>
  </si>
  <si>
    <t>REG-A1-P2-R03</t>
  </si>
  <si>
    <t>2026-08-21 16:13:25.1289450</t>
  </si>
  <si>
    <t>2026-08-21 18:13:25.1289450</t>
  </si>
  <si>
    <t>E:\KAPE_Runs\REG-A1-P2\REG-A1-P2-R03\KAPE\C\$MFT</t>
  </si>
  <si>
    <t>REG-A2-P0-R01</t>
  </si>
  <si>
    <t>2026-08-21 10:16:54.2649206</t>
  </si>
  <si>
    <t>2026-08-21 12:16:54.2649206</t>
  </si>
  <si>
    <t>E:\KAPE_Runs\REG-A2-P0\REG-A2-P0-R01\KAPE\C\$MFT</t>
  </si>
  <si>
    <t>REG-A2-P0-R02</t>
  </si>
  <si>
    <t>2026-08-21 10:22:09.3490070</t>
  </si>
  <si>
    <t>2026-08-21 12:22:09.3490070</t>
  </si>
  <si>
    <t>E:\KAPE_Runs\REG-A2-P0\REG-A2-P0-R02\KAPE\C\$MFT</t>
  </si>
  <si>
    <t>REG-A2-P0-R03</t>
  </si>
  <si>
    <t>2026-08-21 10:26:23.8226189</t>
  </si>
  <si>
    <t>2026-08-21 12:26:23.8226189</t>
  </si>
  <si>
    <t>E:\KAPE_Runs\REG-A2-P0\REG-A2-P0-R03\KAPE\C\$MFT</t>
  </si>
  <si>
    <t>REG-A2-P1-R01</t>
  </si>
  <si>
    <t>2026-08-21 12:25:40.8673389</t>
  </si>
  <si>
    <t>2026-08-21 14:25:40.8673389</t>
  </si>
  <si>
    <t>E:\KAPE_Runs\REG-A2-P1\REG-A2-P1-R01\KAPE\C\$MFT</t>
  </si>
  <si>
    <t>REG-A2-P1-R02</t>
  </si>
  <si>
    <t>2026-08-21 12:29:55.4975300</t>
  </si>
  <si>
    <t>2026-08-21 14:29:55.4975300</t>
  </si>
  <si>
    <t>E:\KAPE_Runs\REG-A2-P1\REG-A2-P1-R02\KAPE\C\$MFT</t>
  </si>
  <si>
    <t>REG-A2-P1-R03</t>
  </si>
  <si>
    <t>2026-08-21 12:34:51.5176858</t>
  </si>
  <si>
    <t>2026-08-21 14:34:51.5176858</t>
  </si>
  <si>
    <t>E:\KAPE_Runs\REG-A2-P1\REG-A2-P1-R03\KAPE\C\$MFT</t>
  </si>
  <si>
    <t>REG-A2-P2-R01</t>
  </si>
  <si>
    <t>2026-08-21 16:22:20.1811824</t>
  </si>
  <si>
    <t>2026-08-21 18:22:20.1811824</t>
  </si>
  <si>
    <t>E:\KAPE_Runs\REG-A2-P2\REG-A2-P2-R01\KAPE\C\$MFT</t>
  </si>
  <si>
    <t>REG-A2-P2-R02</t>
  </si>
  <si>
    <t>2026-08-21 16:29:21.8448695</t>
  </si>
  <si>
    <t>2026-08-21 18:29:21.8448695</t>
  </si>
  <si>
    <t>E:\KAPE_Runs\REG-A2-P2\REG-A2-P2-R02\KAPE\C\$MFT</t>
  </si>
  <si>
    <t>REG-A2-P2-R03</t>
  </si>
  <si>
    <t>2026-08-21 16:36:03.4467452</t>
  </si>
  <si>
    <t>2026-08-21 18:36:03.4467452</t>
  </si>
  <si>
    <t>E:\KAPE_Runs\REG-A2-P2\REG-A2-P2-R03\KAPE\C\$MFT</t>
  </si>
  <si>
    <t>Run-ID</t>
  </si>
  <si>
    <t>MFT-Status</t>
  </si>
  <si>
    <t>Created0x10 UTC</t>
  </si>
  <si>
    <t>Created0x10 lokal (+02:00)</t>
  </si>
  <si>
    <t>RunStart lokal (+02:00)</t>
  </si>
  <si>
    <t>ProcessEnd lokal (+02:00)</t>
  </si>
  <si>
    <t>Nachweis</t>
  </si>
  <si>
    <t>K</t>
  </si>
  <si>
    <t>T</t>
  </si>
  <si>
    <t>U</t>
  </si>
  <si>
    <t>A</t>
  </si>
  <si>
    <t>H</t>
  </si>
  <si>
    <t>Kurzbegründung</t>
  </si>
  <si>
    <t>PowerShell</t>
  </si>
  <si>
    <t>Mshta</t>
  </si>
  <si>
    <t>Regsvr32</t>
  </si>
  <si>
    <t>Cscript</t>
  </si>
  <si>
    <t>Logging-Profil</t>
  </si>
  <si>
    <t>DR</t>
  </si>
  <si>
    <t>Matrixzelle</t>
  </si>
  <si>
    <t>NTFS $MFT: Die Artefaktquelle ist für alle 72 Experimentläufe anwendbar. In jedem Run war die für die jeweilige Aktionsklasse erwartete Ergebnisdatei unter dem vorgesehenen Ausgabepfad vorhanden, und ihr Created0x10-Zeitstempel lag innerhalb des jeweiligen Execution-Zeitraums. Damit ergibt sich für alle 24 Komponenten-, Aktionsklassen- und Logging-Profil-Kombinationen eine Detection Reliability von 3/3. Sämtliche erfolgreichen MFT-Befunde werden mit K0 T2 U0 A0 H1 bewertet.</t>
  </si>
  <si>
    <t>Der Aufrufkontext erhält A0. Die $MFT protokolliert keine Kommandozeile, keine Parameter, keinen Parent-Prozess und keine Prozessrelation zur beobachteten Ergebnisdatei. Aus dem Dateirecord kann daher nicht rekonstruiert werden, wie die jeweilige LOLBin-Komponente gestartet wurde oder welche Skript-, Test- beziehungsweise Aufrufparameter verwendet wurden. Der konkrete experimentelle Aufruf ist aus der $MFT allein nicht nachvollziehbar.
Der Handlungskontext wird mit H1 bewertet. Die $MFT dokumentiert eine konkrete Ergebnisdatei einschließlich Dateiname, Pfad und Erstellungszeitpunkt. Bei A1 ist damit source-lokal erkennbar, dass im vorgesehenen Ausgabeverzeichnis C:\Lab\Outputs\A1 eine Datei entstanden ist. Der MFT-Eintrag dokumentiert jedoch weder den erzeugenden Prozess noch die konkrete Dateioperation, die zu diesem Zustand geführt hat. Die beobachtete Ergebnisdatei stellt deshalb einen begrenzten Hinweis auf die ausgeführte Handlung dar, ohne die Handlung selbst unmittelbar zu protokollieren.
Für A2 gilt dieselbe Einschränkung. Die $MFT zeigt die Datei C:\Lab\Outputs\A2\a2_download_test_v1.txt und deren Erstellungszeitpunkt, enthält jedoch weder die Quell-URL noch Netzwerk-, DNS- oder Prozessinformationen. Aus dem MFT-Befund allein kann deshalb nicht festgestellt werden, dass die Datei über HTTPS heruntergeladen wurde oder von welcher externen Quelle sie stammt. Die konkrete Ergebnisdatei liefert somit einen begrenzten Handlungskontext, reicht aber nicht für einen unmittelbaren Nachweis der Downloadhandlung aus. H2 wäre daher zu hoch.
Insgesamt ergibt sich für sämtliche 72 erfolgreichen MFT-Befunde einheitlich das Profil K0 T2 U0 A0 H1. Die Detection Reliability von 3/3 in allen 24 Kombinationen zeigt, dass die definierte Ergebnisdatei unter den kontrollierten Versuchsbedingungen zuverlässig als dateisystembasierter Befund nachweisbar war. Die $MFT besitzt dabei einen starken Zeitbezug, liefert jedoch keinen eigenständigen Nachweis der ausführenden Komponente, des Benutzerkontexts oder des konkreten Aufrufs und bildet die ausgeführte Handlung nur über das entstandene Dateiergebnis begrenzt ab.</t>
  </si>
  <si>
    <r>
      <rPr>
        <b/>
        <sz val="11"/>
        <rFont val="Arial"/>
        <family val="2"/>
      </rPr>
      <t>Bewertungsbegründung:</t>
    </r>
    <r>
      <rPr>
        <sz val="11"/>
        <rFont val="Arial"/>
      </rPr>
      <t xml:space="preserve"> Die NTFS Master File Table ($MFT) ist eine dateisystembasierte Artefaktquelle und steht unabhängig von den in dieser Arbeit definierten Logging-Profilen P0, P1 und P2 grundsätzlich zur Verfügung. Ein run-spezifischer Nachweis wird angenommen, wenn die für die jeweilige Aktionsklasse erwartete Ergebnisdatei unter C:\Lab\Outputs\A1 beziehungsweise C:\Lab\Outputs\A2 als MFT-Eintrag vorhanden ist und sich ihr Created0x10-Zeitstempel dem jeweiligen Experimentlauf zeitlich zuordnen lässt. Diese Kriterien wurden in allen 72 Runs erfüllt. Damit ergibt sich für sämtliche 24 Komponenten-, Aktionsklassen- und Logging-Profil-Kombinationen eine Detection Reliability von 3/3. Zwischen P0, P1 und P2 wurde hinsichtlich der Nachweisbarkeit durch die $MFT kein Unterschied beobachtet. Da die Logging-Profile keine gezielte Änderung der NTFS-$MFT-Konfiguration vornehmen, wird daraus kein kausaler Einfluss der Logging-Konfiguration auf die Entstehung der MFT-Befunde abgeleitet.
Der Komponentenbezug wird mit K0 bewertet. Der ausgewertete MFT-Eintrag beschreibt die jeweilige Ergebnisdatei, enthält jedoch keine Information darüber, welcher Prozess beziehungsweise welche untersuchte LOLBin-Komponente die Datei erzeugt hat. Bei A1 enthalten die experimentell vergebenen Dateinamen zwar Komponentenbezeichnungen wie A1_PowerShell_Result.txt oder A1_Mshta_Result.txt. Diese Bezeichnungen stammen jedoch aus dem Versuchsdesign und stellen keine durch die $MFT selbst hergestellte Beziehung zwischen Datei und ausführendem Prozess dar. Sie werden deshalb nicht als forensischer Komponentenbezug gewertet. Bei A2 verwenden alle vier Komponenten dieselbe Datei a2_download_test_v1.txt, wodurch der fehlende intrinsische Komponentenbezug zusätzlich deutlich wird.
Der Zeitbezug erhält T2. Der MFT-Befund enthält mit Created0x10 einen eigenen Creation-Time-Metadatenwert. In allen 72 Experimentläufen lag der lokal umgerechnete Zeitwert innerhalb des jeweiligen RunStart-ProcessEnd-Zeitraums und ermöglichte damit eine eindeutige zeitliche Zuordnung des Befunds zum Run. Die Bewertung bezieht sich dabei auf die in der kontrollierten Laborumgebung tatsächlich beobachtete Run-Zuordnung dieses Zeitwerts und nicht auf eine allgemeine Manipulationsresistenz von Dateisystemzeitstempeln.
Der Benutzerkontext wird mit U0 bewertet. Die für die Untersuchung herangezogenen MFT-Einträge enthalten weder einen Benutzernamen noch eine SID oder einen vergleichbaren intrinsischen Benutzerbezug. Eine Zuordnung zum Benutzer labadmin wäre nur über zusätzliche Artefaktquellen beziehungsweise die Ground Truth möglich und wird deshalb innerhalb der MFT-Bewertung nicht vorgenommen.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</si>
</sst>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00"/>
  </numFmts>
  <fonts count="7">
    <font>
      <sz val="11"/>
      <name val="Carlito"/>
    </font>
    <font>
      <b/>
      <sz val="11"/>
      <color rgb="FFFFFFFF"/>
      <name val="Carlito"/>
    </font>
    <font>
      <sz val="11"/>
      <name val="Carlito"/>
    </font>
    <font>
      <sz val="11"/>
      <name val="Arial"/>
    </font>
    <font>
      <b/>
      <sz val="11"/>
      <color rgb="FFFFFFFF"/>
      <name val="Arial"/>
    </font>
    <font>
      <b/>
      <sz val="11"/>
      <name val="Arial"/>
      <family val="2"/>
    </font>
    <font>
      <sz val="11"/>
      <name val="Arial"/>
      <family val="2"/>
    </font>
  </fonts>
  <fills count="4">
    <fill>
      <patternFill patternType="none"/>
    </fill>
    <fill>
      <patternFill patternType="gray125"/>
    </fill>
    <fill>
      <patternFill patternType="solid">
        <fgColor rgb="FF1F4E78"/>
      </patternFill>
    </fill>
    <fill>
      <patternFill patternType="solid">
        <fgColor rgb="FF1F4E78"/>
      </patternFill>
    </fill>
  </fills>
  <borders count="1">
    <border>
      <left/>
      <right/>
      <top/>
      <bottom/>
      <diagonal/>
    </border>
  </borders>
  <cellStyleXfs count="2">
    <xf numFmtId="0" fontId="0" fillId="0" borderId="0"/>
    <xf numFmtId="0" fontId="2" fillId="0" borderId="0"/>
  </cellStyleXfs>
  <cellXfs count="14">
    <xf numFmtId="0" fontId="0" fillId="0" borderId="0" xfId="0"/>
    <xf numFmtId="0" fontId="1" fillId="3" borderId="0" xfId="1" applyFont="1" applyFill="1" applyAlignment="1">
      <alignment horizontal="center" vertical="center" wrapText="1"/>
    </xf>
    <xf numFmtId="0" fontId="3" fillId="0" borderId="0" xfId="1" applyFont="1" applyAlignment="1">
      <alignment vertical="top" wrapText="1"/>
    </xf>
    <xf numFmtId="0" fontId="3" fillId="0" borderId="0" xfId="1" applyFont="1" applyAlignment="1">
      <alignment vertical="top" wrapText="1"/>
      <extLst>
        <ext xmlns:xfpb="http://schemas.microsoft.com/office/spreadsheetml/2022/featurepropertybag" uri="{C7286773-470A-42A8-94C5-96B5CB345126}">
          <xfpb:xfComplement i="0"/>
        </ext>
      </extLst>
    </xf>
    <xf numFmtId="164" fontId="3" fillId="0" borderId="0" xfId="1" applyNumberFormat="1" applyFont="1" applyAlignment="1">
      <alignment vertical="top" wrapText="1"/>
    </xf>
    <xf numFmtId="0" fontId="3" fillId="0" borderId="0" xfId="1" applyFont="1" applyAlignment="1">
      <alignment horizontal="center" vertical="top" wrapText="1"/>
    </xf>
    <xf numFmtId="0" fontId="4" fillId="3" borderId="0" xfId="1" applyFont="1" applyFill="1" applyAlignment="1">
      <alignment horizontal="center" vertical="top" wrapText="1"/>
    </xf>
    <xf numFmtId="0" fontId="3" fillId="0" borderId="0" xfId="0" applyFont="1"/>
    <xf numFmtId="0" fontId="4" fillId="2" borderId="0" xfId="1" applyFont="1" applyFill="1" applyAlignment="1">
      <alignment horizontal="center" vertical="top" wrapText="1"/>
    </xf>
    <xf numFmtId="0" fontId="3" fillId="0" borderId="0" xfId="1" applyFont="1" applyAlignment="1">
      <alignment wrapText="1"/>
    </xf>
    <xf numFmtId="0" fontId="3" fillId="0" borderId="0" xfId="1" applyFont="1" applyAlignment="1">
      <alignment horizontal="center" wrapText="1"/>
    </xf>
    <xf numFmtId="0" fontId="3"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horizontal="left" vertical="top" wrapText="1"/>
    </xf>
  </cellXfs>
  <cellStyles count="2">
    <cellStyle name="Normal" xfId="1" xr:uid="{00000000-0005-0000-0000-000000000000}"/>
    <cellStyle name="Standard" xfId="0" builtinId="0"/>
  </cellStyles>
  <dxfs count="49">
    <dxf>
      <font>
        <color rgb="FF9C0006"/>
      </font>
      <fill>
        <patternFill>
          <bgColor rgb="FFFDE9D9"/>
        </patternFill>
      </fill>
    </dxf>
    <dxf>
      <font>
        <color rgb="FF375623"/>
      </font>
      <fill>
        <patternFill>
          <bgColor rgb="FFE2F0D9"/>
        </patternFill>
      </fill>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FTRohdatenMitInUse" displayName="MFTRohdatenMitInUse" ref="A1:N73" totalsRowShown="0" dataDxfId="48">
  <tableColumns count="14">
    <tableColumn id="1" xr3:uid="{00000000-0010-0000-0000-000001000000}" name="RunID" dataDxfId="47"/>
    <tableColumn id="2" xr3:uid="{00000000-0010-0000-0000-000002000000}" name="Komponente" dataDxfId="46"/>
    <tableColumn id="3" xr3:uid="{00000000-0010-0000-0000-000003000000}" name="Aktionsklasse" dataDxfId="45"/>
    <tableColumn id="4" xr3:uid="{00000000-0010-0000-0000-000004000000}" name="LoggingProfil" dataDxfId="44"/>
    <tableColumn id="5" xr3:uid="{00000000-0010-0000-0000-000005000000}" name="Wiederholung" dataDxfId="43"/>
    <tableColumn id="6" xr3:uid="{00000000-0010-0000-0000-000006000000}" name="MFTStatus" dataDxfId="42"/>
    <tableColumn id="7" xr3:uid="{00000000-0010-0000-0000-000007000000}" name="ErwarteteDatei" dataDxfId="41"/>
    <tableColumn id="8" xr3:uid="{00000000-0010-0000-0000-000008000000}" name="ParentPath" dataDxfId="40"/>
    <tableColumn id="9" xr3:uid="{00000000-0010-0000-0000-000009000000}" name="FileName" dataDxfId="39"/>
    <tableColumn id="10" xr3:uid="{00000000-0010-0000-0000-00000A000000}" name="FileSize" dataDxfId="38"/>
    <tableColumn id="11" xr3:uid="{00000000-0010-0000-0000-00000B000000}" name="InUse" dataDxfId="37"/>
    <tableColumn id="12" xr3:uid="{00000000-0010-0000-0000-00000C000000}" name="Created0x10UTC" dataDxfId="36"/>
    <tableColumn id="13" xr3:uid="{00000000-0010-0000-0000-00000D000000}" name="Created0x10Local" dataDxfId="35"/>
    <tableColumn id="14" xr3:uid="{00000000-0010-0000-0000-00000E000000}" name="SourceMFT"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FTRunLevel" displayName="MFTRunLevel" ref="A1:U73" totalsRowShown="0" dataDxfId="33">
  <tableColumns count="21">
    <tableColumn id="1" xr3:uid="{00000000-0010-0000-0100-000001000000}" name="Run-ID" dataDxfId="32"/>
    <tableColumn id="2" xr3:uid="{00000000-0010-0000-0100-000002000000}" name="Komponente" dataDxfId="31"/>
    <tableColumn id="3" xr3:uid="{00000000-0010-0000-0100-000003000000}" name="Aktionsklasse" dataDxfId="30"/>
    <tableColumn id="4" xr3:uid="{00000000-0010-0000-0100-000004000000}" name="LoggingProfil" dataDxfId="29"/>
    <tableColumn id="5" xr3:uid="{00000000-0010-0000-0100-000005000000}" name="Wiederholung" dataDxfId="28"/>
    <tableColumn id="6" xr3:uid="{00000000-0010-0000-0100-000006000000}" name="MFT-Status" dataDxfId="27"/>
    <tableColumn id="7" xr3:uid="{00000000-0010-0000-0100-000007000000}" name="ParentPath" dataDxfId="26"/>
    <tableColumn id="8" xr3:uid="{00000000-0010-0000-0100-000008000000}" name="FileName" dataDxfId="25"/>
    <tableColumn id="9" xr3:uid="{00000000-0010-0000-0100-000009000000}" name="FileSize" dataDxfId="24"/>
    <tableColumn id="10" xr3:uid="{00000000-0010-0000-0100-00000A000000}" name="InUse" dataDxfId="23"/>
    <tableColumn id="11" xr3:uid="{00000000-0010-0000-0100-00000B000000}" name="Created0x10 UTC" dataDxfId="22"/>
    <tableColumn id="12" xr3:uid="{00000000-0010-0000-0100-00000C000000}" name="Created0x10 lokal (+02:00)" dataDxfId="21"/>
    <tableColumn id="13" xr3:uid="{00000000-0010-0000-0100-00000D000000}" name="RunStart lokal (+02:00)" dataDxfId="20"/>
    <tableColumn id="14" xr3:uid="{00000000-0010-0000-0100-00000E000000}" name="ProcessEnd lokal (+02:00)" dataDxfId="19"/>
    <tableColumn id="15" xr3:uid="{00000000-0010-0000-0100-00000F000000}" name="Nachweis" dataDxfId="18"/>
    <tableColumn id="16" xr3:uid="{00000000-0010-0000-0100-000010000000}" name="K" dataDxfId="17"/>
    <tableColumn id="17" xr3:uid="{00000000-0010-0000-0100-000011000000}" name="T" dataDxfId="16"/>
    <tableColumn id="18" xr3:uid="{00000000-0010-0000-0100-000012000000}" name="U" dataDxfId="15"/>
    <tableColumn id="19" xr3:uid="{00000000-0010-0000-0100-000013000000}" name="A" dataDxfId="14"/>
    <tableColumn id="20" xr3:uid="{00000000-0010-0000-0100-000014000000}" name="H" dataDxfId="13"/>
    <tableColumn id="21" xr3:uid="{00000000-0010-0000-0100-000015000000}" name="Kurzbegründung"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FTAggregiert" displayName="MFTAggregiert" ref="A1:J25" totalsRowShown="0">
  <tableColumns count="10">
    <tableColumn id="1" xr3:uid="{00000000-0010-0000-0200-000001000000}" name="Komponente" dataDxfId="11"/>
    <tableColumn id="2" xr3:uid="{00000000-0010-0000-0200-000002000000}" name="Aktionsklasse" dataDxfId="10"/>
    <tableColumn id="3" xr3:uid="{00000000-0010-0000-0200-000003000000}" name="Logging-Profil" dataDxfId="9"/>
    <tableColumn id="4" xr3:uid="{00000000-0010-0000-0200-000004000000}" name="DR" dataDxfId="8"/>
    <tableColumn id="5" xr3:uid="{00000000-0010-0000-0200-000005000000}" name="K" dataDxfId="7"/>
    <tableColumn id="6" xr3:uid="{00000000-0010-0000-0200-000006000000}" name="T" dataDxfId="6"/>
    <tableColumn id="7" xr3:uid="{00000000-0010-0000-0200-000007000000}" name="U" dataDxfId="5"/>
    <tableColumn id="8" xr3:uid="{00000000-0010-0000-0200-000008000000}" name="A" dataDxfId="4"/>
    <tableColumn id="9" xr3:uid="{00000000-0010-0000-0200-000009000000}" name="H" dataDxfId="3"/>
    <tableColumn id="10" xr3:uid="{00000000-0010-0000-0200-00000A000000}" name="Matrixzelle"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3"/>
  <sheetViews>
    <sheetView workbookViewId="0"/>
  </sheetViews>
  <sheetFormatPr baseColWidth="10" defaultColWidth="9" defaultRowHeight="14.25"/>
  <cols>
    <col min="1" max="1" width="20" customWidth="1"/>
    <col min="2" max="2" width="14" customWidth="1"/>
    <col min="3" max="3" width="13" customWidth="1"/>
    <col min="4" max="4" width="14" customWidth="1"/>
    <col min="5" max="5" width="12" customWidth="1"/>
    <col min="6" max="6" width="26" customWidth="1"/>
    <col min="7" max="8" width="28" customWidth="1"/>
    <col min="9" max="9" width="35" customWidth="1"/>
    <col min="10" max="10" width="12" customWidth="1"/>
    <col min="11" max="11" width="10" customWidth="1"/>
    <col min="12" max="13" width="26" customWidth="1"/>
    <col min="14" max="14" width="72" customWidth="1"/>
  </cols>
  <sheetData>
    <row r="1" spans="1:14" ht="30">
      <c r="A1" s="8" t="s">
        <v>0</v>
      </c>
      <c r="B1" s="8" t="s">
        <v>1</v>
      </c>
      <c r="C1" s="8" t="s">
        <v>2</v>
      </c>
      <c r="D1" s="8" t="s">
        <v>3</v>
      </c>
      <c r="E1" s="8" t="s">
        <v>4</v>
      </c>
      <c r="F1" s="8" t="s">
        <v>5</v>
      </c>
      <c r="G1" s="8" t="s">
        <v>6</v>
      </c>
      <c r="H1" s="8" t="s">
        <v>7</v>
      </c>
      <c r="I1" s="8" t="s">
        <v>8</v>
      </c>
      <c r="J1" s="8" t="s">
        <v>9</v>
      </c>
      <c r="K1" s="8" t="s">
        <v>10</v>
      </c>
      <c r="L1" s="8" t="s">
        <v>11</v>
      </c>
      <c r="M1" s="8" t="s">
        <v>12</v>
      </c>
      <c r="N1" s="8" t="s">
        <v>13</v>
      </c>
    </row>
    <row r="2" spans="1:14" ht="27.95" customHeight="1">
      <c r="A2" s="2" t="s">
        <v>14</v>
      </c>
      <c r="B2" s="2" t="s">
        <v>15</v>
      </c>
      <c r="C2" s="2" t="s">
        <v>16</v>
      </c>
      <c r="D2" s="2" t="s">
        <v>17</v>
      </c>
      <c r="E2" s="2" t="s">
        <v>18</v>
      </c>
      <c r="F2" s="2" t="s">
        <v>19</v>
      </c>
      <c r="G2" s="2" t="s">
        <v>20</v>
      </c>
      <c r="H2" s="2" t="s">
        <v>21</v>
      </c>
      <c r="I2" s="2" t="s">
        <v>20</v>
      </c>
      <c r="J2" s="2" t="s">
        <v>22</v>
      </c>
      <c r="K2" s="3" t="b">
        <v>1</v>
      </c>
      <c r="L2" s="2" t="s">
        <v>23</v>
      </c>
      <c r="M2" s="2" t="s">
        <v>24</v>
      </c>
      <c r="N2" s="2" t="s">
        <v>25</v>
      </c>
    </row>
    <row r="3" spans="1:14" ht="27.95" customHeight="1">
      <c r="A3" s="2" t="s">
        <v>26</v>
      </c>
      <c r="B3" s="2" t="s">
        <v>15</v>
      </c>
      <c r="C3" s="2" t="s">
        <v>16</v>
      </c>
      <c r="D3" s="2" t="s">
        <v>17</v>
      </c>
      <c r="E3" s="2" t="s">
        <v>27</v>
      </c>
      <c r="F3" s="2" t="s">
        <v>19</v>
      </c>
      <c r="G3" s="2" t="s">
        <v>20</v>
      </c>
      <c r="H3" s="2" t="s">
        <v>21</v>
      </c>
      <c r="I3" s="2" t="s">
        <v>20</v>
      </c>
      <c r="J3" s="2" t="s">
        <v>22</v>
      </c>
      <c r="K3" s="3" t="b">
        <v>1</v>
      </c>
      <c r="L3" s="2" t="s">
        <v>28</v>
      </c>
      <c r="M3" s="2" t="s">
        <v>29</v>
      </c>
      <c r="N3" s="2" t="s">
        <v>30</v>
      </c>
    </row>
    <row r="4" spans="1:14" ht="27.95" customHeight="1">
      <c r="A4" s="2" t="s">
        <v>31</v>
      </c>
      <c r="B4" s="2" t="s">
        <v>15</v>
      </c>
      <c r="C4" s="2" t="s">
        <v>16</v>
      </c>
      <c r="D4" s="2" t="s">
        <v>17</v>
      </c>
      <c r="E4" s="2" t="s">
        <v>32</v>
      </c>
      <c r="F4" s="2" t="s">
        <v>19</v>
      </c>
      <c r="G4" s="2" t="s">
        <v>20</v>
      </c>
      <c r="H4" s="2" t="s">
        <v>21</v>
      </c>
      <c r="I4" s="2" t="s">
        <v>20</v>
      </c>
      <c r="J4" s="2" t="s">
        <v>22</v>
      </c>
      <c r="K4" s="3" t="b">
        <v>1</v>
      </c>
      <c r="L4" s="2" t="s">
        <v>33</v>
      </c>
      <c r="M4" s="2" t="s">
        <v>34</v>
      </c>
      <c r="N4" s="2" t="s">
        <v>35</v>
      </c>
    </row>
    <row r="5" spans="1:14" ht="27.95" customHeight="1">
      <c r="A5" s="2" t="s">
        <v>36</v>
      </c>
      <c r="B5" s="2" t="s">
        <v>15</v>
      </c>
      <c r="C5" s="2" t="s">
        <v>16</v>
      </c>
      <c r="D5" s="2" t="s">
        <v>37</v>
      </c>
      <c r="E5" s="2" t="s">
        <v>18</v>
      </c>
      <c r="F5" s="2" t="s">
        <v>19</v>
      </c>
      <c r="G5" s="2" t="s">
        <v>20</v>
      </c>
      <c r="H5" s="2" t="s">
        <v>21</v>
      </c>
      <c r="I5" s="2" t="s">
        <v>20</v>
      </c>
      <c r="J5" s="2" t="s">
        <v>22</v>
      </c>
      <c r="K5" s="3" t="b">
        <v>1</v>
      </c>
      <c r="L5" s="2" t="s">
        <v>38</v>
      </c>
      <c r="M5" s="2" t="s">
        <v>39</v>
      </c>
      <c r="N5" s="2" t="s">
        <v>40</v>
      </c>
    </row>
    <row r="6" spans="1:14" ht="27.95" customHeight="1">
      <c r="A6" s="2" t="s">
        <v>41</v>
      </c>
      <c r="B6" s="2" t="s">
        <v>15</v>
      </c>
      <c r="C6" s="2" t="s">
        <v>16</v>
      </c>
      <c r="D6" s="2" t="s">
        <v>37</v>
      </c>
      <c r="E6" s="2" t="s">
        <v>27</v>
      </c>
      <c r="F6" s="2" t="s">
        <v>19</v>
      </c>
      <c r="G6" s="2" t="s">
        <v>20</v>
      </c>
      <c r="H6" s="2" t="s">
        <v>21</v>
      </c>
      <c r="I6" s="2" t="s">
        <v>20</v>
      </c>
      <c r="J6" s="2" t="s">
        <v>22</v>
      </c>
      <c r="K6" s="3" t="b">
        <v>1</v>
      </c>
      <c r="L6" s="2" t="s">
        <v>42</v>
      </c>
      <c r="M6" s="2" t="s">
        <v>43</v>
      </c>
      <c r="N6" s="2" t="s">
        <v>44</v>
      </c>
    </row>
    <row r="7" spans="1:14" ht="27.95" customHeight="1">
      <c r="A7" s="2" t="s">
        <v>45</v>
      </c>
      <c r="B7" s="2" t="s">
        <v>15</v>
      </c>
      <c r="C7" s="2" t="s">
        <v>16</v>
      </c>
      <c r="D7" s="2" t="s">
        <v>37</v>
      </c>
      <c r="E7" s="2" t="s">
        <v>32</v>
      </c>
      <c r="F7" s="2" t="s">
        <v>19</v>
      </c>
      <c r="G7" s="2" t="s">
        <v>20</v>
      </c>
      <c r="H7" s="2" t="s">
        <v>21</v>
      </c>
      <c r="I7" s="2" t="s">
        <v>20</v>
      </c>
      <c r="J7" s="2" t="s">
        <v>22</v>
      </c>
      <c r="K7" s="3" t="b">
        <v>1</v>
      </c>
      <c r="L7" s="2" t="s">
        <v>46</v>
      </c>
      <c r="M7" s="2" t="s">
        <v>47</v>
      </c>
      <c r="N7" s="2" t="s">
        <v>48</v>
      </c>
    </row>
    <row r="8" spans="1:14" ht="27.95" customHeight="1">
      <c r="A8" s="2" t="s">
        <v>49</v>
      </c>
      <c r="B8" s="2" t="s">
        <v>15</v>
      </c>
      <c r="C8" s="2" t="s">
        <v>16</v>
      </c>
      <c r="D8" s="2" t="s">
        <v>50</v>
      </c>
      <c r="E8" s="2" t="s">
        <v>18</v>
      </c>
      <c r="F8" s="2" t="s">
        <v>19</v>
      </c>
      <c r="G8" s="2" t="s">
        <v>20</v>
      </c>
      <c r="H8" s="2" t="s">
        <v>21</v>
      </c>
      <c r="I8" s="2" t="s">
        <v>20</v>
      </c>
      <c r="J8" s="2" t="s">
        <v>22</v>
      </c>
      <c r="K8" s="3" t="b">
        <v>1</v>
      </c>
      <c r="L8" s="2" t="s">
        <v>51</v>
      </c>
      <c r="M8" s="2" t="s">
        <v>52</v>
      </c>
      <c r="N8" s="2" t="s">
        <v>53</v>
      </c>
    </row>
    <row r="9" spans="1:14" ht="27.95" customHeight="1">
      <c r="A9" s="2" t="s">
        <v>54</v>
      </c>
      <c r="B9" s="2" t="s">
        <v>15</v>
      </c>
      <c r="C9" s="2" t="s">
        <v>16</v>
      </c>
      <c r="D9" s="2" t="s">
        <v>50</v>
      </c>
      <c r="E9" s="2" t="s">
        <v>27</v>
      </c>
      <c r="F9" s="2" t="s">
        <v>19</v>
      </c>
      <c r="G9" s="2" t="s">
        <v>20</v>
      </c>
      <c r="H9" s="2" t="s">
        <v>21</v>
      </c>
      <c r="I9" s="2" t="s">
        <v>20</v>
      </c>
      <c r="J9" s="2" t="s">
        <v>22</v>
      </c>
      <c r="K9" s="3" t="b">
        <v>1</v>
      </c>
      <c r="L9" s="2" t="s">
        <v>55</v>
      </c>
      <c r="M9" s="2" t="s">
        <v>56</v>
      </c>
      <c r="N9" s="2" t="s">
        <v>57</v>
      </c>
    </row>
    <row r="10" spans="1:14" ht="27.95" customHeight="1">
      <c r="A10" s="2" t="s">
        <v>58</v>
      </c>
      <c r="B10" s="2" t="s">
        <v>15</v>
      </c>
      <c r="C10" s="2" t="s">
        <v>16</v>
      </c>
      <c r="D10" s="2" t="s">
        <v>50</v>
      </c>
      <c r="E10" s="2" t="s">
        <v>32</v>
      </c>
      <c r="F10" s="2" t="s">
        <v>19</v>
      </c>
      <c r="G10" s="2" t="s">
        <v>20</v>
      </c>
      <c r="H10" s="2" t="s">
        <v>21</v>
      </c>
      <c r="I10" s="2" t="s">
        <v>20</v>
      </c>
      <c r="J10" s="2" t="s">
        <v>22</v>
      </c>
      <c r="K10" s="3" t="b">
        <v>1</v>
      </c>
      <c r="L10" s="2" t="s">
        <v>59</v>
      </c>
      <c r="M10" s="2" t="s">
        <v>60</v>
      </c>
      <c r="N10" s="2" t="s">
        <v>61</v>
      </c>
    </row>
    <row r="11" spans="1:14" ht="27.95" customHeight="1">
      <c r="A11" s="2" t="s">
        <v>62</v>
      </c>
      <c r="B11" s="2" t="s">
        <v>15</v>
      </c>
      <c r="C11" s="2" t="s">
        <v>63</v>
      </c>
      <c r="D11" s="2" t="s">
        <v>17</v>
      </c>
      <c r="E11" s="2" t="s">
        <v>18</v>
      </c>
      <c r="F11" s="2" t="s">
        <v>19</v>
      </c>
      <c r="G11" s="2" t="s">
        <v>64</v>
      </c>
      <c r="H11" s="2" t="s">
        <v>65</v>
      </c>
      <c r="I11" s="2" t="s">
        <v>64</v>
      </c>
      <c r="J11" s="2" t="s">
        <v>66</v>
      </c>
      <c r="K11" s="3" t="b">
        <v>1</v>
      </c>
      <c r="L11" s="2" t="s">
        <v>67</v>
      </c>
      <c r="M11" s="2" t="s">
        <v>68</v>
      </c>
      <c r="N11" s="2" t="s">
        <v>69</v>
      </c>
    </row>
    <row r="12" spans="1:14" ht="27.95" customHeight="1">
      <c r="A12" s="2" t="s">
        <v>70</v>
      </c>
      <c r="B12" s="2" t="s">
        <v>15</v>
      </c>
      <c r="C12" s="2" t="s">
        <v>63</v>
      </c>
      <c r="D12" s="2" t="s">
        <v>17</v>
      </c>
      <c r="E12" s="2" t="s">
        <v>27</v>
      </c>
      <c r="F12" s="2" t="s">
        <v>19</v>
      </c>
      <c r="G12" s="2" t="s">
        <v>64</v>
      </c>
      <c r="H12" s="2" t="s">
        <v>65</v>
      </c>
      <c r="I12" s="2" t="s">
        <v>64</v>
      </c>
      <c r="J12" s="2" t="s">
        <v>66</v>
      </c>
      <c r="K12" s="3" t="b">
        <v>1</v>
      </c>
      <c r="L12" s="2" t="s">
        <v>71</v>
      </c>
      <c r="M12" s="2" t="s">
        <v>72</v>
      </c>
      <c r="N12" s="2" t="s">
        <v>73</v>
      </c>
    </row>
    <row r="13" spans="1:14" ht="27.95" customHeight="1">
      <c r="A13" s="2" t="s">
        <v>74</v>
      </c>
      <c r="B13" s="2" t="s">
        <v>15</v>
      </c>
      <c r="C13" s="2" t="s">
        <v>63</v>
      </c>
      <c r="D13" s="2" t="s">
        <v>17</v>
      </c>
      <c r="E13" s="2" t="s">
        <v>32</v>
      </c>
      <c r="F13" s="2" t="s">
        <v>19</v>
      </c>
      <c r="G13" s="2" t="s">
        <v>64</v>
      </c>
      <c r="H13" s="2" t="s">
        <v>65</v>
      </c>
      <c r="I13" s="2" t="s">
        <v>64</v>
      </c>
      <c r="J13" s="2" t="s">
        <v>66</v>
      </c>
      <c r="K13" s="3" t="b">
        <v>1</v>
      </c>
      <c r="L13" s="2" t="s">
        <v>75</v>
      </c>
      <c r="M13" s="2" t="s">
        <v>76</v>
      </c>
      <c r="N13" s="2" t="s">
        <v>77</v>
      </c>
    </row>
    <row r="14" spans="1:14" ht="27.95" customHeight="1">
      <c r="A14" s="2" t="s">
        <v>78</v>
      </c>
      <c r="B14" s="2" t="s">
        <v>15</v>
      </c>
      <c r="C14" s="2" t="s">
        <v>63</v>
      </c>
      <c r="D14" s="2" t="s">
        <v>37</v>
      </c>
      <c r="E14" s="2" t="s">
        <v>18</v>
      </c>
      <c r="F14" s="2" t="s">
        <v>19</v>
      </c>
      <c r="G14" s="2" t="s">
        <v>64</v>
      </c>
      <c r="H14" s="2" t="s">
        <v>65</v>
      </c>
      <c r="I14" s="2" t="s">
        <v>64</v>
      </c>
      <c r="J14" s="2" t="s">
        <v>66</v>
      </c>
      <c r="K14" s="3" t="b">
        <v>1</v>
      </c>
      <c r="L14" s="2" t="s">
        <v>79</v>
      </c>
      <c r="M14" s="2" t="s">
        <v>80</v>
      </c>
      <c r="N14" s="2" t="s">
        <v>81</v>
      </c>
    </row>
    <row r="15" spans="1:14" ht="27.95" customHeight="1">
      <c r="A15" s="2" t="s">
        <v>82</v>
      </c>
      <c r="B15" s="2" t="s">
        <v>15</v>
      </c>
      <c r="C15" s="2" t="s">
        <v>63</v>
      </c>
      <c r="D15" s="2" t="s">
        <v>37</v>
      </c>
      <c r="E15" s="2" t="s">
        <v>27</v>
      </c>
      <c r="F15" s="2" t="s">
        <v>19</v>
      </c>
      <c r="G15" s="2" t="s">
        <v>64</v>
      </c>
      <c r="H15" s="2" t="s">
        <v>65</v>
      </c>
      <c r="I15" s="2" t="s">
        <v>64</v>
      </c>
      <c r="J15" s="2" t="s">
        <v>66</v>
      </c>
      <c r="K15" s="3" t="b">
        <v>1</v>
      </c>
      <c r="L15" s="2" t="s">
        <v>83</v>
      </c>
      <c r="M15" s="2" t="s">
        <v>84</v>
      </c>
      <c r="N15" s="2" t="s">
        <v>85</v>
      </c>
    </row>
    <row r="16" spans="1:14" ht="27.95" customHeight="1">
      <c r="A16" s="2" t="s">
        <v>86</v>
      </c>
      <c r="B16" s="2" t="s">
        <v>15</v>
      </c>
      <c r="C16" s="2" t="s">
        <v>63</v>
      </c>
      <c r="D16" s="2" t="s">
        <v>37</v>
      </c>
      <c r="E16" s="2" t="s">
        <v>32</v>
      </c>
      <c r="F16" s="2" t="s">
        <v>19</v>
      </c>
      <c r="G16" s="2" t="s">
        <v>64</v>
      </c>
      <c r="H16" s="2" t="s">
        <v>65</v>
      </c>
      <c r="I16" s="2" t="s">
        <v>64</v>
      </c>
      <c r="J16" s="2" t="s">
        <v>66</v>
      </c>
      <c r="K16" s="3" t="b">
        <v>1</v>
      </c>
      <c r="L16" s="2" t="s">
        <v>87</v>
      </c>
      <c r="M16" s="2" t="s">
        <v>88</v>
      </c>
      <c r="N16" s="2" t="s">
        <v>89</v>
      </c>
    </row>
    <row r="17" spans="1:14" ht="27.95" customHeight="1">
      <c r="A17" s="2" t="s">
        <v>90</v>
      </c>
      <c r="B17" s="2" t="s">
        <v>15</v>
      </c>
      <c r="C17" s="2" t="s">
        <v>63</v>
      </c>
      <c r="D17" s="2" t="s">
        <v>50</v>
      </c>
      <c r="E17" s="2" t="s">
        <v>18</v>
      </c>
      <c r="F17" s="2" t="s">
        <v>19</v>
      </c>
      <c r="G17" s="2" t="s">
        <v>64</v>
      </c>
      <c r="H17" s="2" t="s">
        <v>65</v>
      </c>
      <c r="I17" s="2" t="s">
        <v>64</v>
      </c>
      <c r="J17" s="2" t="s">
        <v>66</v>
      </c>
      <c r="K17" s="3" t="b">
        <v>1</v>
      </c>
      <c r="L17" s="2" t="s">
        <v>91</v>
      </c>
      <c r="M17" s="2" t="s">
        <v>92</v>
      </c>
      <c r="N17" s="2" t="s">
        <v>93</v>
      </c>
    </row>
    <row r="18" spans="1:14" ht="27.95" customHeight="1">
      <c r="A18" s="2" t="s">
        <v>94</v>
      </c>
      <c r="B18" s="2" t="s">
        <v>15</v>
      </c>
      <c r="C18" s="2" t="s">
        <v>63</v>
      </c>
      <c r="D18" s="2" t="s">
        <v>50</v>
      </c>
      <c r="E18" s="2" t="s">
        <v>27</v>
      </c>
      <c r="F18" s="2" t="s">
        <v>19</v>
      </c>
      <c r="G18" s="2" t="s">
        <v>64</v>
      </c>
      <c r="H18" s="2" t="s">
        <v>65</v>
      </c>
      <c r="I18" s="2" t="s">
        <v>64</v>
      </c>
      <c r="J18" s="2" t="s">
        <v>66</v>
      </c>
      <c r="K18" s="3" t="b">
        <v>1</v>
      </c>
      <c r="L18" s="2" t="s">
        <v>95</v>
      </c>
      <c r="M18" s="2" t="s">
        <v>96</v>
      </c>
      <c r="N18" s="2" t="s">
        <v>97</v>
      </c>
    </row>
    <row r="19" spans="1:14" ht="27.95" customHeight="1">
      <c r="A19" s="2" t="s">
        <v>98</v>
      </c>
      <c r="B19" s="2" t="s">
        <v>15</v>
      </c>
      <c r="C19" s="2" t="s">
        <v>63</v>
      </c>
      <c r="D19" s="2" t="s">
        <v>50</v>
      </c>
      <c r="E19" s="2" t="s">
        <v>32</v>
      </c>
      <c r="F19" s="2" t="s">
        <v>19</v>
      </c>
      <c r="G19" s="2" t="s">
        <v>64</v>
      </c>
      <c r="H19" s="2" t="s">
        <v>65</v>
      </c>
      <c r="I19" s="2" t="s">
        <v>64</v>
      </c>
      <c r="J19" s="2" t="s">
        <v>66</v>
      </c>
      <c r="K19" s="3" t="b">
        <v>1</v>
      </c>
      <c r="L19" s="2" t="s">
        <v>99</v>
      </c>
      <c r="M19" s="2" t="s">
        <v>100</v>
      </c>
      <c r="N19" s="2" t="s">
        <v>101</v>
      </c>
    </row>
    <row r="20" spans="1:14" ht="27.95" customHeight="1">
      <c r="A20" s="2" t="s">
        <v>102</v>
      </c>
      <c r="B20" s="2" t="s">
        <v>103</v>
      </c>
      <c r="C20" s="2" t="s">
        <v>16</v>
      </c>
      <c r="D20" s="2" t="s">
        <v>17</v>
      </c>
      <c r="E20" s="2" t="s">
        <v>18</v>
      </c>
      <c r="F20" s="2" t="s">
        <v>19</v>
      </c>
      <c r="G20" s="2" t="s">
        <v>104</v>
      </c>
      <c r="H20" s="2" t="s">
        <v>21</v>
      </c>
      <c r="I20" s="2" t="s">
        <v>104</v>
      </c>
      <c r="J20" s="2" t="s">
        <v>105</v>
      </c>
      <c r="K20" s="3" t="b">
        <v>1</v>
      </c>
      <c r="L20" s="2" t="s">
        <v>106</v>
      </c>
      <c r="M20" s="2" t="s">
        <v>107</v>
      </c>
      <c r="N20" s="2" t="s">
        <v>108</v>
      </c>
    </row>
    <row r="21" spans="1:14" ht="27.95" customHeight="1">
      <c r="A21" s="2" t="s">
        <v>109</v>
      </c>
      <c r="B21" s="2" t="s">
        <v>103</v>
      </c>
      <c r="C21" s="2" t="s">
        <v>16</v>
      </c>
      <c r="D21" s="2" t="s">
        <v>17</v>
      </c>
      <c r="E21" s="2" t="s">
        <v>27</v>
      </c>
      <c r="F21" s="2" t="s">
        <v>19</v>
      </c>
      <c r="G21" s="2" t="s">
        <v>104</v>
      </c>
      <c r="H21" s="2" t="s">
        <v>21</v>
      </c>
      <c r="I21" s="2" t="s">
        <v>104</v>
      </c>
      <c r="J21" s="2" t="s">
        <v>105</v>
      </c>
      <c r="K21" s="3" t="b">
        <v>1</v>
      </c>
      <c r="L21" s="2" t="s">
        <v>110</v>
      </c>
      <c r="M21" s="2" t="s">
        <v>111</v>
      </c>
      <c r="N21" s="2" t="s">
        <v>112</v>
      </c>
    </row>
    <row r="22" spans="1:14" ht="27.95" customHeight="1">
      <c r="A22" s="2" t="s">
        <v>113</v>
      </c>
      <c r="B22" s="2" t="s">
        <v>103</v>
      </c>
      <c r="C22" s="2" t="s">
        <v>16</v>
      </c>
      <c r="D22" s="2" t="s">
        <v>17</v>
      </c>
      <c r="E22" s="2" t="s">
        <v>32</v>
      </c>
      <c r="F22" s="2" t="s">
        <v>19</v>
      </c>
      <c r="G22" s="2" t="s">
        <v>104</v>
      </c>
      <c r="H22" s="2" t="s">
        <v>21</v>
      </c>
      <c r="I22" s="2" t="s">
        <v>104</v>
      </c>
      <c r="J22" s="2" t="s">
        <v>105</v>
      </c>
      <c r="K22" s="3" t="b">
        <v>1</v>
      </c>
      <c r="L22" s="2" t="s">
        <v>114</v>
      </c>
      <c r="M22" s="2" t="s">
        <v>115</v>
      </c>
      <c r="N22" s="2" t="s">
        <v>116</v>
      </c>
    </row>
    <row r="23" spans="1:14" ht="27.95" customHeight="1">
      <c r="A23" s="2" t="s">
        <v>117</v>
      </c>
      <c r="B23" s="2" t="s">
        <v>103</v>
      </c>
      <c r="C23" s="2" t="s">
        <v>16</v>
      </c>
      <c r="D23" s="2" t="s">
        <v>37</v>
      </c>
      <c r="E23" s="2" t="s">
        <v>18</v>
      </c>
      <c r="F23" s="2" t="s">
        <v>19</v>
      </c>
      <c r="G23" s="2" t="s">
        <v>104</v>
      </c>
      <c r="H23" s="2" t="s">
        <v>21</v>
      </c>
      <c r="I23" s="2" t="s">
        <v>104</v>
      </c>
      <c r="J23" s="2" t="s">
        <v>105</v>
      </c>
      <c r="K23" s="3" t="b">
        <v>1</v>
      </c>
      <c r="L23" s="2" t="s">
        <v>118</v>
      </c>
      <c r="M23" s="2" t="s">
        <v>119</v>
      </c>
      <c r="N23" s="2" t="s">
        <v>120</v>
      </c>
    </row>
    <row r="24" spans="1:14" ht="27.95" customHeight="1">
      <c r="A24" s="2" t="s">
        <v>121</v>
      </c>
      <c r="B24" s="2" t="s">
        <v>103</v>
      </c>
      <c r="C24" s="2" t="s">
        <v>16</v>
      </c>
      <c r="D24" s="2" t="s">
        <v>37</v>
      </c>
      <c r="E24" s="2" t="s">
        <v>27</v>
      </c>
      <c r="F24" s="2" t="s">
        <v>19</v>
      </c>
      <c r="G24" s="2" t="s">
        <v>104</v>
      </c>
      <c r="H24" s="2" t="s">
        <v>21</v>
      </c>
      <c r="I24" s="2" t="s">
        <v>104</v>
      </c>
      <c r="J24" s="2" t="s">
        <v>105</v>
      </c>
      <c r="K24" s="3" t="b">
        <v>1</v>
      </c>
      <c r="L24" s="2" t="s">
        <v>122</v>
      </c>
      <c r="M24" s="2" t="s">
        <v>123</v>
      </c>
      <c r="N24" s="2" t="s">
        <v>124</v>
      </c>
    </row>
    <row r="25" spans="1:14" ht="27.95" customHeight="1">
      <c r="A25" s="2" t="s">
        <v>125</v>
      </c>
      <c r="B25" s="2" t="s">
        <v>103</v>
      </c>
      <c r="C25" s="2" t="s">
        <v>16</v>
      </c>
      <c r="D25" s="2" t="s">
        <v>37</v>
      </c>
      <c r="E25" s="2" t="s">
        <v>32</v>
      </c>
      <c r="F25" s="2" t="s">
        <v>19</v>
      </c>
      <c r="G25" s="2" t="s">
        <v>104</v>
      </c>
      <c r="H25" s="2" t="s">
        <v>21</v>
      </c>
      <c r="I25" s="2" t="s">
        <v>104</v>
      </c>
      <c r="J25" s="2" t="s">
        <v>105</v>
      </c>
      <c r="K25" s="3" t="b">
        <v>1</v>
      </c>
      <c r="L25" s="2" t="s">
        <v>126</v>
      </c>
      <c r="M25" s="2" t="s">
        <v>127</v>
      </c>
      <c r="N25" s="2" t="s">
        <v>128</v>
      </c>
    </row>
    <row r="26" spans="1:14" ht="27.95" customHeight="1">
      <c r="A26" s="2" t="s">
        <v>129</v>
      </c>
      <c r="B26" s="2" t="s">
        <v>103</v>
      </c>
      <c r="C26" s="2" t="s">
        <v>16</v>
      </c>
      <c r="D26" s="2" t="s">
        <v>50</v>
      </c>
      <c r="E26" s="2" t="s">
        <v>18</v>
      </c>
      <c r="F26" s="2" t="s">
        <v>19</v>
      </c>
      <c r="G26" s="2" t="s">
        <v>104</v>
      </c>
      <c r="H26" s="2" t="s">
        <v>21</v>
      </c>
      <c r="I26" s="2" t="s">
        <v>104</v>
      </c>
      <c r="J26" s="2" t="s">
        <v>105</v>
      </c>
      <c r="K26" s="3" t="b">
        <v>1</v>
      </c>
      <c r="L26" s="2" t="s">
        <v>130</v>
      </c>
      <c r="M26" s="2" t="s">
        <v>131</v>
      </c>
      <c r="N26" s="2" t="s">
        <v>132</v>
      </c>
    </row>
    <row r="27" spans="1:14" ht="27.95" customHeight="1">
      <c r="A27" s="2" t="s">
        <v>133</v>
      </c>
      <c r="B27" s="2" t="s">
        <v>103</v>
      </c>
      <c r="C27" s="2" t="s">
        <v>16</v>
      </c>
      <c r="D27" s="2" t="s">
        <v>50</v>
      </c>
      <c r="E27" s="2" t="s">
        <v>27</v>
      </c>
      <c r="F27" s="2" t="s">
        <v>19</v>
      </c>
      <c r="G27" s="2" t="s">
        <v>104</v>
      </c>
      <c r="H27" s="2" t="s">
        <v>21</v>
      </c>
      <c r="I27" s="2" t="s">
        <v>104</v>
      </c>
      <c r="J27" s="2" t="s">
        <v>105</v>
      </c>
      <c r="K27" s="3" t="b">
        <v>1</v>
      </c>
      <c r="L27" s="2" t="s">
        <v>134</v>
      </c>
      <c r="M27" s="2" t="s">
        <v>135</v>
      </c>
      <c r="N27" s="2" t="s">
        <v>136</v>
      </c>
    </row>
    <row r="28" spans="1:14" ht="27.95" customHeight="1">
      <c r="A28" s="2" t="s">
        <v>137</v>
      </c>
      <c r="B28" s="2" t="s">
        <v>103</v>
      </c>
      <c r="C28" s="2" t="s">
        <v>16</v>
      </c>
      <c r="D28" s="2" t="s">
        <v>50</v>
      </c>
      <c r="E28" s="2" t="s">
        <v>32</v>
      </c>
      <c r="F28" s="2" t="s">
        <v>19</v>
      </c>
      <c r="G28" s="2" t="s">
        <v>104</v>
      </c>
      <c r="H28" s="2" t="s">
        <v>21</v>
      </c>
      <c r="I28" s="2" t="s">
        <v>104</v>
      </c>
      <c r="J28" s="2" t="s">
        <v>105</v>
      </c>
      <c r="K28" s="3" t="b">
        <v>1</v>
      </c>
      <c r="L28" s="2" t="s">
        <v>138</v>
      </c>
      <c r="M28" s="2" t="s">
        <v>139</v>
      </c>
      <c r="N28" s="2" t="s">
        <v>140</v>
      </c>
    </row>
    <row r="29" spans="1:14" ht="27.95" customHeight="1">
      <c r="A29" s="2" t="s">
        <v>141</v>
      </c>
      <c r="B29" s="2" t="s">
        <v>103</v>
      </c>
      <c r="C29" s="2" t="s">
        <v>63</v>
      </c>
      <c r="D29" s="2" t="s">
        <v>17</v>
      </c>
      <c r="E29" s="2" t="s">
        <v>18</v>
      </c>
      <c r="F29" s="2" t="s">
        <v>19</v>
      </c>
      <c r="G29" s="2" t="s">
        <v>64</v>
      </c>
      <c r="H29" s="2" t="s">
        <v>65</v>
      </c>
      <c r="I29" s="2" t="s">
        <v>64</v>
      </c>
      <c r="J29" s="2" t="s">
        <v>66</v>
      </c>
      <c r="K29" s="3" t="b">
        <v>1</v>
      </c>
      <c r="L29" s="2" t="s">
        <v>142</v>
      </c>
      <c r="M29" s="2" t="s">
        <v>143</v>
      </c>
      <c r="N29" s="2" t="s">
        <v>144</v>
      </c>
    </row>
    <row r="30" spans="1:14" ht="27.95" customHeight="1">
      <c r="A30" s="2" t="s">
        <v>145</v>
      </c>
      <c r="B30" s="2" t="s">
        <v>103</v>
      </c>
      <c r="C30" s="2" t="s">
        <v>63</v>
      </c>
      <c r="D30" s="2" t="s">
        <v>17</v>
      </c>
      <c r="E30" s="2" t="s">
        <v>27</v>
      </c>
      <c r="F30" s="2" t="s">
        <v>19</v>
      </c>
      <c r="G30" s="2" t="s">
        <v>64</v>
      </c>
      <c r="H30" s="2" t="s">
        <v>65</v>
      </c>
      <c r="I30" s="2" t="s">
        <v>64</v>
      </c>
      <c r="J30" s="2" t="s">
        <v>66</v>
      </c>
      <c r="K30" s="3" t="b">
        <v>1</v>
      </c>
      <c r="L30" s="2" t="s">
        <v>146</v>
      </c>
      <c r="M30" s="2" t="s">
        <v>147</v>
      </c>
      <c r="N30" s="2" t="s">
        <v>148</v>
      </c>
    </row>
    <row r="31" spans="1:14" ht="27.95" customHeight="1">
      <c r="A31" s="2" t="s">
        <v>149</v>
      </c>
      <c r="B31" s="2" t="s">
        <v>103</v>
      </c>
      <c r="C31" s="2" t="s">
        <v>63</v>
      </c>
      <c r="D31" s="2" t="s">
        <v>17</v>
      </c>
      <c r="E31" s="2" t="s">
        <v>32</v>
      </c>
      <c r="F31" s="2" t="s">
        <v>19</v>
      </c>
      <c r="G31" s="2" t="s">
        <v>64</v>
      </c>
      <c r="H31" s="2" t="s">
        <v>65</v>
      </c>
      <c r="I31" s="2" t="s">
        <v>64</v>
      </c>
      <c r="J31" s="2" t="s">
        <v>66</v>
      </c>
      <c r="K31" s="3" t="b">
        <v>1</v>
      </c>
      <c r="L31" s="2" t="s">
        <v>150</v>
      </c>
      <c r="M31" s="2" t="s">
        <v>151</v>
      </c>
      <c r="N31" s="2" t="s">
        <v>152</v>
      </c>
    </row>
    <row r="32" spans="1:14" ht="27.95" customHeight="1">
      <c r="A32" s="2" t="s">
        <v>153</v>
      </c>
      <c r="B32" s="2" t="s">
        <v>103</v>
      </c>
      <c r="C32" s="2" t="s">
        <v>63</v>
      </c>
      <c r="D32" s="2" t="s">
        <v>37</v>
      </c>
      <c r="E32" s="2" t="s">
        <v>18</v>
      </c>
      <c r="F32" s="2" t="s">
        <v>19</v>
      </c>
      <c r="G32" s="2" t="s">
        <v>64</v>
      </c>
      <c r="H32" s="2" t="s">
        <v>65</v>
      </c>
      <c r="I32" s="2" t="s">
        <v>64</v>
      </c>
      <c r="J32" s="2" t="s">
        <v>66</v>
      </c>
      <c r="K32" s="3" t="b">
        <v>1</v>
      </c>
      <c r="L32" s="2" t="s">
        <v>154</v>
      </c>
      <c r="M32" s="2" t="s">
        <v>155</v>
      </c>
      <c r="N32" s="2" t="s">
        <v>156</v>
      </c>
    </row>
    <row r="33" spans="1:14" ht="27.95" customHeight="1">
      <c r="A33" s="2" t="s">
        <v>157</v>
      </c>
      <c r="B33" s="2" t="s">
        <v>103</v>
      </c>
      <c r="C33" s="2" t="s">
        <v>63</v>
      </c>
      <c r="D33" s="2" t="s">
        <v>37</v>
      </c>
      <c r="E33" s="2" t="s">
        <v>27</v>
      </c>
      <c r="F33" s="2" t="s">
        <v>19</v>
      </c>
      <c r="G33" s="2" t="s">
        <v>64</v>
      </c>
      <c r="H33" s="2" t="s">
        <v>65</v>
      </c>
      <c r="I33" s="2" t="s">
        <v>64</v>
      </c>
      <c r="J33" s="2" t="s">
        <v>66</v>
      </c>
      <c r="K33" s="3" t="b">
        <v>1</v>
      </c>
      <c r="L33" s="2" t="s">
        <v>158</v>
      </c>
      <c r="M33" s="2" t="s">
        <v>159</v>
      </c>
      <c r="N33" s="2" t="s">
        <v>160</v>
      </c>
    </row>
    <row r="34" spans="1:14" ht="27.95" customHeight="1">
      <c r="A34" s="2" t="s">
        <v>161</v>
      </c>
      <c r="B34" s="2" t="s">
        <v>103</v>
      </c>
      <c r="C34" s="2" t="s">
        <v>63</v>
      </c>
      <c r="D34" s="2" t="s">
        <v>37</v>
      </c>
      <c r="E34" s="2" t="s">
        <v>32</v>
      </c>
      <c r="F34" s="2" t="s">
        <v>19</v>
      </c>
      <c r="G34" s="2" t="s">
        <v>64</v>
      </c>
      <c r="H34" s="2" t="s">
        <v>65</v>
      </c>
      <c r="I34" s="2" t="s">
        <v>64</v>
      </c>
      <c r="J34" s="2" t="s">
        <v>66</v>
      </c>
      <c r="K34" s="3" t="b">
        <v>1</v>
      </c>
      <c r="L34" s="2" t="s">
        <v>162</v>
      </c>
      <c r="M34" s="2" t="s">
        <v>163</v>
      </c>
      <c r="N34" s="2" t="s">
        <v>164</v>
      </c>
    </row>
    <row r="35" spans="1:14" ht="27.95" customHeight="1">
      <c r="A35" s="2" t="s">
        <v>165</v>
      </c>
      <c r="B35" s="2" t="s">
        <v>103</v>
      </c>
      <c r="C35" s="2" t="s">
        <v>63</v>
      </c>
      <c r="D35" s="2" t="s">
        <v>50</v>
      </c>
      <c r="E35" s="2" t="s">
        <v>18</v>
      </c>
      <c r="F35" s="2" t="s">
        <v>19</v>
      </c>
      <c r="G35" s="2" t="s">
        <v>64</v>
      </c>
      <c r="H35" s="2" t="s">
        <v>65</v>
      </c>
      <c r="I35" s="2" t="s">
        <v>64</v>
      </c>
      <c r="J35" s="2" t="s">
        <v>66</v>
      </c>
      <c r="K35" s="3" t="b">
        <v>1</v>
      </c>
      <c r="L35" s="2" t="s">
        <v>166</v>
      </c>
      <c r="M35" s="2" t="s">
        <v>167</v>
      </c>
      <c r="N35" s="2" t="s">
        <v>168</v>
      </c>
    </row>
    <row r="36" spans="1:14" ht="27.95" customHeight="1">
      <c r="A36" s="2" t="s">
        <v>169</v>
      </c>
      <c r="B36" s="2" t="s">
        <v>103</v>
      </c>
      <c r="C36" s="2" t="s">
        <v>63</v>
      </c>
      <c r="D36" s="2" t="s">
        <v>50</v>
      </c>
      <c r="E36" s="2" t="s">
        <v>27</v>
      </c>
      <c r="F36" s="2" t="s">
        <v>19</v>
      </c>
      <c r="G36" s="2" t="s">
        <v>64</v>
      </c>
      <c r="H36" s="2" t="s">
        <v>65</v>
      </c>
      <c r="I36" s="2" t="s">
        <v>64</v>
      </c>
      <c r="J36" s="2" t="s">
        <v>66</v>
      </c>
      <c r="K36" s="3" t="b">
        <v>1</v>
      </c>
      <c r="L36" s="2" t="s">
        <v>170</v>
      </c>
      <c r="M36" s="2" t="s">
        <v>171</v>
      </c>
      <c r="N36" s="2" t="s">
        <v>172</v>
      </c>
    </row>
    <row r="37" spans="1:14" ht="27.95" customHeight="1">
      <c r="A37" s="2" t="s">
        <v>173</v>
      </c>
      <c r="B37" s="2" t="s">
        <v>103</v>
      </c>
      <c r="C37" s="2" t="s">
        <v>63</v>
      </c>
      <c r="D37" s="2" t="s">
        <v>50</v>
      </c>
      <c r="E37" s="2" t="s">
        <v>32</v>
      </c>
      <c r="F37" s="2" t="s">
        <v>19</v>
      </c>
      <c r="G37" s="2" t="s">
        <v>64</v>
      </c>
      <c r="H37" s="2" t="s">
        <v>65</v>
      </c>
      <c r="I37" s="2" t="s">
        <v>64</v>
      </c>
      <c r="J37" s="2" t="s">
        <v>66</v>
      </c>
      <c r="K37" s="3" t="b">
        <v>1</v>
      </c>
      <c r="L37" s="2" t="s">
        <v>174</v>
      </c>
      <c r="M37" s="2" t="s">
        <v>175</v>
      </c>
      <c r="N37" s="2" t="s">
        <v>176</v>
      </c>
    </row>
    <row r="38" spans="1:14" ht="27.95" customHeight="1">
      <c r="A38" s="2" t="s">
        <v>177</v>
      </c>
      <c r="B38" s="2" t="s">
        <v>178</v>
      </c>
      <c r="C38" s="2" t="s">
        <v>16</v>
      </c>
      <c r="D38" s="2" t="s">
        <v>17</v>
      </c>
      <c r="E38" s="2" t="s">
        <v>18</v>
      </c>
      <c r="F38" s="2" t="s">
        <v>19</v>
      </c>
      <c r="G38" s="2" t="s">
        <v>179</v>
      </c>
      <c r="H38" s="2" t="s">
        <v>21</v>
      </c>
      <c r="I38" s="2" t="s">
        <v>179</v>
      </c>
      <c r="J38" s="2" t="s">
        <v>180</v>
      </c>
      <c r="K38" s="3" t="b">
        <v>1</v>
      </c>
      <c r="L38" s="2" t="s">
        <v>181</v>
      </c>
      <c r="M38" s="2" t="s">
        <v>182</v>
      </c>
      <c r="N38" s="2" t="s">
        <v>183</v>
      </c>
    </row>
    <row r="39" spans="1:14" ht="27.95" customHeight="1">
      <c r="A39" s="2" t="s">
        <v>184</v>
      </c>
      <c r="B39" s="2" t="s">
        <v>178</v>
      </c>
      <c r="C39" s="2" t="s">
        <v>16</v>
      </c>
      <c r="D39" s="2" t="s">
        <v>17</v>
      </c>
      <c r="E39" s="2" t="s">
        <v>27</v>
      </c>
      <c r="F39" s="2" t="s">
        <v>19</v>
      </c>
      <c r="G39" s="2" t="s">
        <v>179</v>
      </c>
      <c r="H39" s="2" t="s">
        <v>21</v>
      </c>
      <c r="I39" s="2" t="s">
        <v>179</v>
      </c>
      <c r="J39" s="2" t="s">
        <v>180</v>
      </c>
      <c r="K39" s="3" t="b">
        <v>1</v>
      </c>
      <c r="L39" s="2" t="s">
        <v>185</v>
      </c>
      <c r="M39" s="2" t="s">
        <v>186</v>
      </c>
      <c r="N39" s="2" t="s">
        <v>187</v>
      </c>
    </row>
    <row r="40" spans="1:14" ht="27.95" customHeight="1">
      <c r="A40" s="2" t="s">
        <v>188</v>
      </c>
      <c r="B40" s="2" t="s">
        <v>178</v>
      </c>
      <c r="C40" s="2" t="s">
        <v>16</v>
      </c>
      <c r="D40" s="2" t="s">
        <v>17</v>
      </c>
      <c r="E40" s="2" t="s">
        <v>32</v>
      </c>
      <c r="F40" s="2" t="s">
        <v>19</v>
      </c>
      <c r="G40" s="2" t="s">
        <v>179</v>
      </c>
      <c r="H40" s="2" t="s">
        <v>21</v>
      </c>
      <c r="I40" s="2" t="s">
        <v>179</v>
      </c>
      <c r="J40" s="2" t="s">
        <v>180</v>
      </c>
      <c r="K40" s="3" t="b">
        <v>1</v>
      </c>
      <c r="L40" s="2" t="s">
        <v>189</v>
      </c>
      <c r="M40" s="2" t="s">
        <v>190</v>
      </c>
      <c r="N40" s="2" t="s">
        <v>191</v>
      </c>
    </row>
    <row r="41" spans="1:14" ht="27.95" customHeight="1">
      <c r="A41" s="2" t="s">
        <v>192</v>
      </c>
      <c r="B41" s="2" t="s">
        <v>178</v>
      </c>
      <c r="C41" s="2" t="s">
        <v>16</v>
      </c>
      <c r="D41" s="2" t="s">
        <v>37</v>
      </c>
      <c r="E41" s="2" t="s">
        <v>18</v>
      </c>
      <c r="F41" s="2" t="s">
        <v>19</v>
      </c>
      <c r="G41" s="2" t="s">
        <v>179</v>
      </c>
      <c r="H41" s="2" t="s">
        <v>21</v>
      </c>
      <c r="I41" s="2" t="s">
        <v>179</v>
      </c>
      <c r="J41" s="2" t="s">
        <v>180</v>
      </c>
      <c r="K41" s="3" t="b">
        <v>1</v>
      </c>
      <c r="L41" s="2" t="s">
        <v>193</v>
      </c>
      <c r="M41" s="2" t="s">
        <v>194</v>
      </c>
      <c r="N41" s="2" t="s">
        <v>195</v>
      </c>
    </row>
    <row r="42" spans="1:14" ht="27.95" customHeight="1">
      <c r="A42" s="2" t="s">
        <v>196</v>
      </c>
      <c r="B42" s="2" t="s">
        <v>178</v>
      </c>
      <c r="C42" s="2" t="s">
        <v>16</v>
      </c>
      <c r="D42" s="2" t="s">
        <v>37</v>
      </c>
      <c r="E42" s="2" t="s">
        <v>27</v>
      </c>
      <c r="F42" s="2" t="s">
        <v>19</v>
      </c>
      <c r="G42" s="2" t="s">
        <v>179</v>
      </c>
      <c r="H42" s="2" t="s">
        <v>21</v>
      </c>
      <c r="I42" s="2" t="s">
        <v>179</v>
      </c>
      <c r="J42" s="2" t="s">
        <v>180</v>
      </c>
      <c r="K42" s="3" t="b">
        <v>1</v>
      </c>
      <c r="L42" s="2" t="s">
        <v>197</v>
      </c>
      <c r="M42" s="2" t="s">
        <v>198</v>
      </c>
      <c r="N42" s="2" t="s">
        <v>199</v>
      </c>
    </row>
    <row r="43" spans="1:14" ht="27.95" customHeight="1">
      <c r="A43" s="2" t="s">
        <v>200</v>
      </c>
      <c r="B43" s="2" t="s">
        <v>178</v>
      </c>
      <c r="C43" s="2" t="s">
        <v>16</v>
      </c>
      <c r="D43" s="2" t="s">
        <v>37</v>
      </c>
      <c r="E43" s="2" t="s">
        <v>32</v>
      </c>
      <c r="F43" s="2" t="s">
        <v>19</v>
      </c>
      <c r="G43" s="2" t="s">
        <v>179</v>
      </c>
      <c r="H43" s="2" t="s">
        <v>21</v>
      </c>
      <c r="I43" s="2" t="s">
        <v>179</v>
      </c>
      <c r="J43" s="2" t="s">
        <v>180</v>
      </c>
      <c r="K43" s="3" t="b">
        <v>1</v>
      </c>
      <c r="L43" s="2" t="s">
        <v>201</v>
      </c>
      <c r="M43" s="2" t="s">
        <v>202</v>
      </c>
      <c r="N43" s="2" t="s">
        <v>203</v>
      </c>
    </row>
    <row r="44" spans="1:14" ht="27.95" customHeight="1">
      <c r="A44" s="2" t="s">
        <v>204</v>
      </c>
      <c r="B44" s="2" t="s">
        <v>178</v>
      </c>
      <c r="C44" s="2" t="s">
        <v>16</v>
      </c>
      <c r="D44" s="2" t="s">
        <v>50</v>
      </c>
      <c r="E44" s="2" t="s">
        <v>18</v>
      </c>
      <c r="F44" s="2" t="s">
        <v>19</v>
      </c>
      <c r="G44" s="2" t="s">
        <v>179</v>
      </c>
      <c r="H44" s="2" t="s">
        <v>21</v>
      </c>
      <c r="I44" s="2" t="s">
        <v>179</v>
      </c>
      <c r="J44" s="2" t="s">
        <v>180</v>
      </c>
      <c r="K44" s="3" t="b">
        <v>1</v>
      </c>
      <c r="L44" s="2" t="s">
        <v>205</v>
      </c>
      <c r="M44" s="2" t="s">
        <v>206</v>
      </c>
      <c r="N44" s="2" t="s">
        <v>207</v>
      </c>
    </row>
    <row r="45" spans="1:14" ht="27.95" customHeight="1">
      <c r="A45" s="2" t="s">
        <v>208</v>
      </c>
      <c r="B45" s="2" t="s">
        <v>178</v>
      </c>
      <c r="C45" s="2" t="s">
        <v>16</v>
      </c>
      <c r="D45" s="2" t="s">
        <v>50</v>
      </c>
      <c r="E45" s="2" t="s">
        <v>27</v>
      </c>
      <c r="F45" s="2" t="s">
        <v>19</v>
      </c>
      <c r="G45" s="2" t="s">
        <v>179</v>
      </c>
      <c r="H45" s="2" t="s">
        <v>21</v>
      </c>
      <c r="I45" s="2" t="s">
        <v>179</v>
      </c>
      <c r="J45" s="2" t="s">
        <v>180</v>
      </c>
      <c r="K45" s="3" t="b">
        <v>1</v>
      </c>
      <c r="L45" s="2" t="s">
        <v>209</v>
      </c>
      <c r="M45" s="2" t="s">
        <v>210</v>
      </c>
      <c r="N45" s="2" t="s">
        <v>211</v>
      </c>
    </row>
    <row r="46" spans="1:14" ht="27.95" customHeight="1">
      <c r="A46" s="2" t="s">
        <v>212</v>
      </c>
      <c r="B46" s="2" t="s">
        <v>178</v>
      </c>
      <c r="C46" s="2" t="s">
        <v>16</v>
      </c>
      <c r="D46" s="2" t="s">
        <v>50</v>
      </c>
      <c r="E46" s="2" t="s">
        <v>32</v>
      </c>
      <c r="F46" s="2" t="s">
        <v>19</v>
      </c>
      <c r="G46" s="2" t="s">
        <v>179</v>
      </c>
      <c r="H46" s="2" t="s">
        <v>21</v>
      </c>
      <c r="I46" s="2" t="s">
        <v>179</v>
      </c>
      <c r="J46" s="2" t="s">
        <v>180</v>
      </c>
      <c r="K46" s="3" t="b">
        <v>1</v>
      </c>
      <c r="L46" s="2" t="s">
        <v>213</v>
      </c>
      <c r="M46" s="2" t="s">
        <v>214</v>
      </c>
      <c r="N46" s="2" t="s">
        <v>215</v>
      </c>
    </row>
    <row r="47" spans="1:14" ht="27.95" customHeight="1">
      <c r="A47" s="2" t="s">
        <v>216</v>
      </c>
      <c r="B47" s="2" t="s">
        <v>178</v>
      </c>
      <c r="C47" s="2" t="s">
        <v>63</v>
      </c>
      <c r="D47" s="2" t="s">
        <v>17</v>
      </c>
      <c r="E47" s="2" t="s">
        <v>18</v>
      </c>
      <c r="F47" s="2" t="s">
        <v>19</v>
      </c>
      <c r="G47" s="2" t="s">
        <v>64</v>
      </c>
      <c r="H47" s="2" t="s">
        <v>65</v>
      </c>
      <c r="I47" s="2" t="s">
        <v>64</v>
      </c>
      <c r="J47" s="2" t="s">
        <v>66</v>
      </c>
      <c r="K47" s="3" t="b">
        <v>1</v>
      </c>
      <c r="L47" s="2" t="s">
        <v>217</v>
      </c>
      <c r="M47" s="2" t="s">
        <v>218</v>
      </c>
      <c r="N47" s="2" t="s">
        <v>219</v>
      </c>
    </row>
    <row r="48" spans="1:14" ht="27.95" customHeight="1">
      <c r="A48" s="2" t="s">
        <v>220</v>
      </c>
      <c r="B48" s="2" t="s">
        <v>178</v>
      </c>
      <c r="C48" s="2" t="s">
        <v>63</v>
      </c>
      <c r="D48" s="2" t="s">
        <v>17</v>
      </c>
      <c r="E48" s="2" t="s">
        <v>27</v>
      </c>
      <c r="F48" s="2" t="s">
        <v>19</v>
      </c>
      <c r="G48" s="2" t="s">
        <v>64</v>
      </c>
      <c r="H48" s="2" t="s">
        <v>65</v>
      </c>
      <c r="I48" s="2" t="s">
        <v>64</v>
      </c>
      <c r="J48" s="2" t="s">
        <v>66</v>
      </c>
      <c r="K48" s="3" t="b">
        <v>1</v>
      </c>
      <c r="L48" s="2" t="s">
        <v>221</v>
      </c>
      <c r="M48" s="2" t="s">
        <v>222</v>
      </c>
      <c r="N48" s="2" t="s">
        <v>223</v>
      </c>
    </row>
    <row r="49" spans="1:14" ht="27.95" customHeight="1">
      <c r="A49" s="2" t="s">
        <v>224</v>
      </c>
      <c r="B49" s="2" t="s">
        <v>178</v>
      </c>
      <c r="C49" s="2" t="s">
        <v>63</v>
      </c>
      <c r="D49" s="2" t="s">
        <v>17</v>
      </c>
      <c r="E49" s="2" t="s">
        <v>32</v>
      </c>
      <c r="F49" s="2" t="s">
        <v>19</v>
      </c>
      <c r="G49" s="2" t="s">
        <v>64</v>
      </c>
      <c r="H49" s="2" t="s">
        <v>65</v>
      </c>
      <c r="I49" s="2" t="s">
        <v>64</v>
      </c>
      <c r="J49" s="2" t="s">
        <v>66</v>
      </c>
      <c r="K49" s="3" t="b">
        <v>1</v>
      </c>
      <c r="L49" s="2" t="s">
        <v>225</v>
      </c>
      <c r="M49" s="2" t="s">
        <v>226</v>
      </c>
      <c r="N49" s="2" t="s">
        <v>227</v>
      </c>
    </row>
    <row r="50" spans="1:14" ht="27.95" customHeight="1">
      <c r="A50" s="2" t="s">
        <v>228</v>
      </c>
      <c r="B50" s="2" t="s">
        <v>178</v>
      </c>
      <c r="C50" s="2" t="s">
        <v>63</v>
      </c>
      <c r="D50" s="2" t="s">
        <v>37</v>
      </c>
      <c r="E50" s="2" t="s">
        <v>18</v>
      </c>
      <c r="F50" s="2" t="s">
        <v>19</v>
      </c>
      <c r="G50" s="2" t="s">
        <v>64</v>
      </c>
      <c r="H50" s="2" t="s">
        <v>65</v>
      </c>
      <c r="I50" s="2" t="s">
        <v>64</v>
      </c>
      <c r="J50" s="2" t="s">
        <v>66</v>
      </c>
      <c r="K50" s="3" t="b">
        <v>1</v>
      </c>
      <c r="L50" s="2" t="s">
        <v>229</v>
      </c>
      <c r="M50" s="2" t="s">
        <v>230</v>
      </c>
      <c r="N50" s="2" t="s">
        <v>231</v>
      </c>
    </row>
    <row r="51" spans="1:14" ht="27.95" customHeight="1">
      <c r="A51" s="2" t="s">
        <v>232</v>
      </c>
      <c r="B51" s="2" t="s">
        <v>178</v>
      </c>
      <c r="C51" s="2" t="s">
        <v>63</v>
      </c>
      <c r="D51" s="2" t="s">
        <v>37</v>
      </c>
      <c r="E51" s="2" t="s">
        <v>27</v>
      </c>
      <c r="F51" s="2" t="s">
        <v>19</v>
      </c>
      <c r="G51" s="2" t="s">
        <v>64</v>
      </c>
      <c r="H51" s="2" t="s">
        <v>65</v>
      </c>
      <c r="I51" s="2" t="s">
        <v>64</v>
      </c>
      <c r="J51" s="2" t="s">
        <v>66</v>
      </c>
      <c r="K51" s="3" t="b">
        <v>1</v>
      </c>
      <c r="L51" s="2" t="s">
        <v>233</v>
      </c>
      <c r="M51" s="2" t="s">
        <v>234</v>
      </c>
      <c r="N51" s="2" t="s">
        <v>235</v>
      </c>
    </row>
    <row r="52" spans="1:14" ht="27.95" customHeight="1">
      <c r="A52" s="2" t="s">
        <v>236</v>
      </c>
      <c r="B52" s="2" t="s">
        <v>178</v>
      </c>
      <c r="C52" s="2" t="s">
        <v>63</v>
      </c>
      <c r="D52" s="2" t="s">
        <v>37</v>
      </c>
      <c r="E52" s="2" t="s">
        <v>32</v>
      </c>
      <c r="F52" s="2" t="s">
        <v>19</v>
      </c>
      <c r="G52" s="2" t="s">
        <v>64</v>
      </c>
      <c r="H52" s="2" t="s">
        <v>65</v>
      </c>
      <c r="I52" s="2" t="s">
        <v>64</v>
      </c>
      <c r="J52" s="2" t="s">
        <v>66</v>
      </c>
      <c r="K52" s="3" t="b">
        <v>1</v>
      </c>
      <c r="L52" s="2" t="s">
        <v>237</v>
      </c>
      <c r="M52" s="2" t="s">
        <v>238</v>
      </c>
      <c r="N52" s="2" t="s">
        <v>239</v>
      </c>
    </row>
    <row r="53" spans="1:14" ht="27.95" customHeight="1">
      <c r="A53" s="2" t="s">
        <v>240</v>
      </c>
      <c r="B53" s="2" t="s">
        <v>178</v>
      </c>
      <c r="C53" s="2" t="s">
        <v>63</v>
      </c>
      <c r="D53" s="2" t="s">
        <v>50</v>
      </c>
      <c r="E53" s="2" t="s">
        <v>18</v>
      </c>
      <c r="F53" s="2" t="s">
        <v>19</v>
      </c>
      <c r="G53" s="2" t="s">
        <v>64</v>
      </c>
      <c r="H53" s="2" t="s">
        <v>65</v>
      </c>
      <c r="I53" s="2" t="s">
        <v>64</v>
      </c>
      <c r="J53" s="2" t="s">
        <v>66</v>
      </c>
      <c r="K53" s="3" t="b">
        <v>1</v>
      </c>
      <c r="L53" s="2" t="s">
        <v>241</v>
      </c>
      <c r="M53" s="2" t="s">
        <v>242</v>
      </c>
      <c r="N53" s="2" t="s">
        <v>243</v>
      </c>
    </row>
    <row r="54" spans="1:14" ht="27.95" customHeight="1">
      <c r="A54" s="2" t="s">
        <v>244</v>
      </c>
      <c r="B54" s="2" t="s">
        <v>178</v>
      </c>
      <c r="C54" s="2" t="s">
        <v>63</v>
      </c>
      <c r="D54" s="2" t="s">
        <v>50</v>
      </c>
      <c r="E54" s="2" t="s">
        <v>27</v>
      </c>
      <c r="F54" s="2" t="s">
        <v>19</v>
      </c>
      <c r="G54" s="2" t="s">
        <v>64</v>
      </c>
      <c r="H54" s="2" t="s">
        <v>65</v>
      </c>
      <c r="I54" s="2" t="s">
        <v>64</v>
      </c>
      <c r="J54" s="2" t="s">
        <v>66</v>
      </c>
      <c r="K54" s="3" t="b">
        <v>1</v>
      </c>
      <c r="L54" s="2" t="s">
        <v>245</v>
      </c>
      <c r="M54" s="2" t="s">
        <v>246</v>
      </c>
      <c r="N54" s="2" t="s">
        <v>247</v>
      </c>
    </row>
    <row r="55" spans="1:14" ht="27.95" customHeight="1">
      <c r="A55" s="2" t="s">
        <v>248</v>
      </c>
      <c r="B55" s="2" t="s">
        <v>178</v>
      </c>
      <c r="C55" s="2" t="s">
        <v>63</v>
      </c>
      <c r="D55" s="2" t="s">
        <v>50</v>
      </c>
      <c r="E55" s="2" t="s">
        <v>32</v>
      </c>
      <c r="F55" s="2" t="s">
        <v>19</v>
      </c>
      <c r="G55" s="2" t="s">
        <v>64</v>
      </c>
      <c r="H55" s="2" t="s">
        <v>65</v>
      </c>
      <c r="I55" s="2" t="s">
        <v>64</v>
      </c>
      <c r="J55" s="2" t="s">
        <v>66</v>
      </c>
      <c r="K55" s="3" t="b">
        <v>1</v>
      </c>
      <c r="L55" s="2" t="s">
        <v>249</v>
      </c>
      <c r="M55" s="2" t="s">
        <v>250</v>
      </c>
      <c r="N55" s="2" t="s">
        <v>251</v>
      </c>
    </row>
    <row r="56" spans="1:14" ht="27.95" customHeight="1">
      <c r="A56" s="2" t="s">
        <v>252</v>
      </c>
      <c r="B56" s="2" t="s">
        <v>253</v>
      </c>
      <c r="C56" s="2" t="s">
        <v>16</v>
      </c>
      <c r="D56" s="2" t="s">
        <v>17</v>
      </c>
      <c r="E56" s="2" t="s">
        <v>18</v>
      </c>
      <c r="F56" s="2" t="s">
        <v>19</v>
      </c>
      <c r="G56" s="2" t="s">
        <v>254</v>
      </c>
      <c r="H56" s="2" t="s">
        <v>21</v>
      </c>
      <c r="I56" s="2" t="s">
        <v>254</v>
      </c>
      <c r="J56" s="2" t="s">
        <v>255</v>
      </c>
      <c r="K56" s="3" t="b">
        <v>1</v>
      </c>
      <c r="L56" s="2" t="s">
        <v>256</v>
      </c>
      <c r="M56" s="2" t="s">
        <v>257</v>
      </c>
      <c r="N56" s="2" t="s">
        <v>258</v>
      </c>
    </row>
    <row r="57" spans="1:14" ht="27.95" customHeight="1">
      <c r="A57" s="2" t="s">
        <v>259</v>
      </c>
      <c r="B57" s="2" t="s">
        <v>253</v>
      </c>
      <c r="C57" s="2" t="s">
        <v>16</v>
      </c>
      <c r="D57" s="2" t="s">
        <v>17</v>
      </c>
      <c r="E57" s="2" t="s">
        <v>27</v>
      </c>
      <c r="F57" s="2" t="s">
        <v>19</v>
      </c>
      <c r="G57" s="2" t="s">
        <v>254</v>
      </c>
      <c r="H57" s="2" t="s">
        <v>21</v>
      </c>
      <c r="I57" s="2" t="s">
        <v>254</v>
      </c>
      <c r="J57" s="2" t="s">
        <v>255</v>
      </c>
      <c r="K57" s="3" t="b">
        <v>1</v>
      </c>
      <c r="L57" s="2" t="s">
        <v>260</v>
      </c>
      <c r="M57" s="2" t="s">
        <v>261</v>
      </c>
      <c r="N57" s="2" t="s">
        <v>262</v>
      </c>
    </row>
    <row r="58" spans="1:14" ht="27.95" customHeight="1">
      <c r="A58" s="2" t="s">
        <v>263</v>
      </c>
      <c r="B58" s="2" t="s">
        <v>253</v>
      </c>
      <c r="C58" s="2" t="s">
        <v>16</v>
      </c>
      <c r="D58" s="2" t="s">
        <v>17</v>
      </c>
      <c r="E58" s="2" t="s">
        <v>32</v>
      </c>
      <c r="F58" s="2" t="s">
        <v>19</v>
      </c>
      <c r="G58" s="2" t="s">
        <v>254</v>
      </c>
      <c r="H58" s="2" t="s">
        <v>21</v>
      </c>
      <c r="I58" s="2" t="s">
        <v>254</v>
      </c>
      <c r="J58" s="2" t="s">
        <v>255</v>
      </c>
      <c r="K58" s="3" t="b">
        <v>1</v>
      </c>
      <c r="L58" s="2" t="s">
        <v>264</v>
      </c>
      <c r="M58" s="2" t="s">
        <v>265</v>
      </c>
      <c r="N58" s="2" t="s">
        <v>266</v>
      </c>
    </row>
    <row r="59" spans="1:14" ht="27.95" customHeight="1">
      <c r="A59" s="2" t="s">
        <v>267</v>
      </c>
      <c r="B59" s="2" t="s">
        <v>253</v>
      </c>
      <c r="C59" s="2" t="s">
        <v>16</v>
      </c>
      <c r="D59" s="2" t="s">
        <v>37</v>
      </c>
      <c r="E59" s="2" t="s">
        <v>18</v>
      </c>
      <c r="F59" s="2" t="s">
        <v>19</v>
      </c>
      <c r="G59" s="2" t="s">
        <v>254</v>
      </c>
      <c r="H59" s="2" t="s">
        <v>21</v>
      </c>
      <c r="I59" s="2" t="s">
        <v>254</v>
      </c>
      <c r="J59" s="2" t="s">
        <v>255</v>
      </c>
      <c r="K59" s="3" t="b">
        <v>1</v>
      </c>
      <c r="L59" s="2" t="s">
        <v>268</v>
      </c>
      <c r="M59" s="2" t="s">
        <v>269</v>
      </c>
      <c r="N59" s="2" t="s">
        <v>270</v>
      </c>
    </row>
    <row r="60" spans="1:14" ht="27.95" customHeight="1">
      <c r="A60" s="2" t="s">
        <v>271</v>
      </c>
      <c r="B60" s="2" t="s">
        <v>253</v>
      </c>
      <c r="C60" s="2" t="s">
        <v>16</v>
      </c>
      <c r="D60" s="2" t="s">
        <v>37</v>
      </c>
      <c r="E60" s="2" t="s">
        <v>27</v>
      </c>
      <c r="F60" s="2" t="s">
        <v>19</v>
      </c>
      <c r="G60" s="2" t="s">
        <v>254</v>
      </c>
      <c r="H60" s="2" t="s">
        <v>21</v>
      </c>
      <c r="I60" s="2" t="s">
        <v>254</v>
      </c>
      <c r="J60" s="2" t="s">
        <v>255</v>
      </c>
      <c r="K60" s="3" t="b">
        <v>1</v>
      </c>
      <c r="L60" s="2" t="s">
        <v>272</v>
      </c>
      <c r="M60" s="2" t="s">
        <v>273</v>
      </c>
      <c r="N60" s="2" t="s">
        <v>274</v>
      </c>
    </row>
    <row r="61" spans="1:14" ht="27.95" customHeight="1">
      <c r="A61" s="2" t="s">
        <v>275</v>
      </c>
      <c r="B61" s="2" t="s">
        <v>253</v>
      </c>
      <c r="C61" s="2" t="s">
        <v>16</v>
      </c>
      <c r="D61" s="2" t="s">
        <v>37</v>
      </c>
      <c r="E61" s="2" t="s">
        <v>32</v>
      </c>
      <c r="F61" s="2" t="s">
        <v>19</v>
      </c>
      <c r="G61" s="2" t="s">
        <v>254</v>
      </c>
      <c r="H61" s="2" t="s">
        <v>21</v>
      </c>
      <c r="I61" s="2" t="s">
        <v>254</v>
      </c>
      <c r="J61" s="2" t="s">
        <v>255</v>
      </c>
      <c r="K61" s="3" t="b">
        <v>1</v>
      </c>
      <c r="L61" s="2" t="s">
        <v>276</v>
      </c>
      <c r="M61" s="2" t="s">
        <v>277</v>
      </c>
      <c r="N61" s="2" t="s">
        <v>278</v>
      </c>
    </row>
    <row r="62" spans="1:14" ht="27.95" customHeight="1">
      <c r="A62" s="2" t="s">
        <v>279</v>
      </c>
      <c r="B62" s="2" t="s">
        <v>253</v>
      </c>
      <c r="C62" s="2" t="s">
        <v>16</v>
      </c>
      <c r="D62" s="2" t="s">
        <v>50</v>
      </c>
      <c r="E62" s="2" t="s">
        <v>18</v>
      </c>
      <c r="F62" s="2" t="s">
        <v>19</v>
      </c>
      <c r="G62" s="2" t="s">
        <v>254</v>
      </c>
      <c r="H62" s="2" t="s">
        <v>21</v>
      </c>
      <c r="I62" s="2" t="s">
        <v>254</v>
      </c>
      <c r="J62" s="2" t="s">
        <v>255</v>
      </c>
      <c r="K62" s="3" t="b">
        <v>1</v>
      </c>
      <c r="L62" s="2" t="s">
        <v>280</v>
      </c>
      <c r="M62" s="2" t="s">
        <v>281</v>
      </c>
      <c r="N62" s="2" t="s">
        <v>282</v>
      </c>
    </row>
    <row r="63" spans="1:14" ht="27.95" customHeight="1">
      <c r="A63" s="2" t="s">
        <v>283</v>
      </c>
      <c r="B63" s="2" t="s">
        <v>253</v>
      </c>
      <c r="C63" s="2" t="s">
        <v>16</v>
      </c>
      <c r="D63" s="2" t="s">
        <v>50</v>
      </c>
      <c r="E63" s="2" t="s">
        <v>27</v>
      </c>
      <c r="F63" s="2" t="s">
        <v>19</v>
      </c>
      <c r="G63" s="2" t="s">
        <v>254</v>
      </c>
      <c r="H63" s="2" t="s">
        <v>21</v>
      </c>
      <c r="I63" s="2" t="s">
        <v>254</v>
      </c>
      <c r="J63" s="2" t="s">
        <v>255</v>
      </c>
      <c r="K63" s="3" t="b">
        <v>1</v>
      </c>
      <c r="L63" s="2" t="s">
        <v>284</v>
      </c>
      <c r="M63" s="2" t="s">
        <v>285</v>
      </c>
      <c r="N63" s="2" t="s">
        <v>286</v>
      </c>
    </row>
    <row r="64" spans="1:14" ht="27.95" customHeight="1">
      <c r="A64" s="2" t="s">
        <v>287</v>
      </c>
      <c r="B64" s="2" t="s">
        <v>253</v>
      </c>
      <c r="C64" s="2" t="s">
        <v>16</v>
      </c>
      <c r="D64" s="2" t="s">
        <v>50</v>
      </c>
      <c r="E64" s="2" t="s">
        <v>32</v>
      </c>
      <c r="F64" s="2" t="s">
        <v>19</v>
      </c>
      <c r="G64" s="2" t="s">
        <v>254</v>
      </c>
      <c r="H64" s="2" t="s">
        <v>21</v>
      </c>
      <c r="I64" s="2" t="s">
        <v>254</v>
      </c>
      <c r="J64" s="2" t="s">
        <v>255</v>
      </c>
      <c r="K64" s="3" t="b">
        <v>1</v>
      </c>
      <c r="L64" s="2" t="s">
        <v>288</v>
      </c>
      <c r="M64" s="2" t="s">
        <v>289</v>
      </c>
      <c r="N64" s="2" t="s">
        <v>290</v>
      </c>
    </row>
    <row r="65" spans="1:14" ht="27.95" customHeight="1">
      <c r="A65" s="2" t="s">
        <v>291</v>
      </c>
      <c r="B65" s="2" t="s">
        <v>253</v>
      </c>
      <c r="C65" s="2" t="s">
        <v>63</v>
      </c>
      <c r="D65" s="2" t="s">
        <v>17</v>
      </c>
      <c r="E65" s="2" t="s">
        <v>18</v>
      </c>
      <c r="F65" s="2" t="s">
        <v>19</v>
      </c>
      <c r="G65" s="2" t="s">
        <v>64</v>
      </c>
      <c r="H65" s="2" t="s">
        <v>65</v>
      </c>
      <c r="I65" s="2" t="s">
        <v>64</v>
      </c>
      <c r="J65" s="2" t="s">
        <v>66</v>
      </c>
      <c r="K65" s="3" t="b">
        <v>1</v>
      </c>
      <c r="L65" s="2" t="s">
        <v>292</v>
      </c>
      <c r="M65" s="2" t="s">
        <v>293</v>
      </c>
      <c r="N65" s="2" t="s">
        <v>294</v>
      </c>
    </row>
    <row r="66" spans="1:14" ht="27.95" customHeight="1">
      <c r="A66" s="2" t="s">
        <v>295</v>
      </c>
      <c r="B66" s="2" t="s">
        <v>253</v>
      </c>
      <c r="C66" s="2" t="s">
        <v>63</v>
      </c>
      <c r="D66" s="2" t="s">
        <v>17</v>
      </c>
      <c r="E66" s="2" t="s">
        <v>27</v>
      </c>
      <c r="F66" s="2" t="s">
        <v>19</v>
      </c>
      <c r="G66" s="2" t="s">
        <v>64</v>
      </c>
      <c r="H66" s="2" t="s">
        <v>65</v>
      </c>
      <c r="I66" s="2" t="s">
        <v>64</v>
      </c>
      <c r="J66" s="2" t="s">
        <v>66</v>
      </c>
      <c r="K66" s="3" t="b">
        <v>1</v>
      </c>
      <c r="L66" s="2" t="s">
        <v>296</v>
      </c>
      <c r="M66" s="2" t="s">
        <v>297</v>
      </c>
      <c r="N66" s="2" t="s">
        <v>298</v>
      </c>
    </row>
    <row r="67" spans="1:14" ht="27.95" customHeight="1">
      <c r="A67" s="2" t="s">
        <v>299</v>
      </c>
      <c r="B67" s="2" t="s">
        <v>253</v>
      </c>
      <c r="C67" s="2" t="s">
        <v>63</v>
      </c>
      <c r="D67" s="2" t="s">
        <v>17</v>
      </c>
      <c r="E67" s="2" t="s">
        <v>32</v>
      </c>
      <c r="F67" s="2" t="s">
        <v>19</v>
      </c>
      <c r="G67" s="2" t="s">
        <v>64</v>
      </c>
      <c r="H67" s="2" t="s">
        <v>65</v>
      </c>
      <c r="I67" s="2" t="s">
        <v>64</v>
      </c>
      <c r="J67" s="2" t="s">
        <v>66</v>
      </c>
      <c r="K67" s="3" t="b">
        <v>1</v>
      </c>
      <c r="L67" s="2" t="s">
        <v>300</v>
      </c>
      <c r="M67" s="2" t="s">
        <v>301</v>
      </c>
      <c r="N67" s="2" t="s">
        <v>302</v>
      </c>
    </row>
    <row r="68" spans="1:14" ht="27.95" customHeight="1">
      <c r="A68" s="2" t="s">
        <v>303</v>
      </c>
      <c r="B68" s="2" t="s">
        <v>253</v>
      </c>
      <c r="C68" s="2" t="s">
        <v>63</v>
      </c>
      <c r="D68" s="2" t="s">
        <v>37</v>
      </c>
      <c r="E68" s="2" t="s">
        <v>18</v>
      </c>
      <c r="F68" s="2" t="s">
        <v>19</v>
      </c>
      <c r="G68" s="2" t="s">
        <v>64</v>
      </c>
      <c r="H68" s="2" t="s">
        <v>65</v>
      </c>
      <c r="I68" s="2" t="s">
        <v>64</v>
      </c>
      <c r="J68" s="2" t="s">
        <v>66</v>
      </c>
      <c r="K68" s="3" t="b">
        <v>1</v>
      </c>
      <c r="L68" s="2" t="s">
        <v>304</v>
      </c>
      <c r="M68" s="2" t="s">
        <v>305</v>
      </c>
      <c r="N68" s="2" t="s">
        <v>306</v>
      </c>
    </row>
    <row r="69" spans="1:14" ht="27.95" customHeight="1">
      <c r="A69" s="2" t="s">
        <v>307</v>
      </c>
      <c r="B69" s="2" t="s">
        <v>253</v>
      </c>
      <c r="C69" s="2" t="s">
        <v>63</v>
      </c>
      <c r="D69" s="2" t="s">
        <v>37</v>
      </c>
      <c r="E69" s="2" t="s">
        <v>27</v>
      </c>
      <c r="F69" s="2" t="s">
        <v>19</v>
      </c>
      <c r="G69" s="2" t="s">
        <v>64</v>
      </c>
      <c r="H69" s="2" t="s">
        <v>65</v>
      </c>
      <c r="I69" s="2" t="s">
        <v>64</v>
      </c>
      <c r="J69" s="2" t="s">
        <v>66</v>
      </c>
      <c r="K69" s="3" t="b">
        <v>1</v>
      </c>
      <c r="L69" s="2" t="s">
        <v>308</v>
      </c>
      <c r="M69" s="2" t="s">
        <v>309</v>
      </c>
      <c r="N69" s="2" t="s">
        <v>310</v>
      </c>
    </row>
    <row r="70" spans="1:14" ht="27.95" customHeight="1">
      <c r="A70" s="2" t="s">
        <v>311</v>
      </c>
      <c r="B70" s="2" t="s">
        <v>253</v>
      </c>
      <c r="C70" s="2" t="s">
        <v>63</v>
      </c>
      <c r="D70" s="2" t="s">
        <v>37</v>
      </c>
      <c r="E70" s="2" t="s">
        <v>32</v>
      </c>
      <c r="F70" s="2" t="s">
        <v>19</v>
      </c>
      <c r="G70" s="2" t="s">
        <v>64</v>
      </c>
      <c r="H70" s="2" t="s">
        <v>65</v>
      </c>
      <c r="I70" s="2" t="s">
        <v>64</v>
      </c>
      <c r="J70" s="2" t="s">
        <v>66</v>
      </c>
      <c r="K70" s="3" t="b">
        <v>1</v>
      </c>
      <c r="L70" s="2" t="s">
        <v>312</v>
      </c>
      <c r="M70" s="2" t="s">
        <v>313</v>
      </c>
      <c r="N70" s="2" t="s">
        <v>314</v>
      </c>
    </row>
    <row r="71" spans="1:14" ht="27.95" customHeight="1">
      <c r="A71" s="2" t="s">
        <v>315</v>
      </c>
      <c r="B71" s="2" t="s">
        <v>253</v>
      </c>
      <c r="C71" s="2" t="s">
        <v>63</v>
      </c>
      <c r="D71" s="2" t="s">
        <v>50</v>
      </c>
      <c r="E71" s="2" t="s">
        <v>18</v>
      </c>
      <c r="F71" s="2" t="s">
        <v>19</v>
      </c>
      <c r="G71" s="2" t="s">
        <v>64</v>
      </c>
      <c r="H71" s="2" t="s">
        <v>65</v>
      </c>
      <c r="I71" s="2" t="s">
        <v>64</v>
      </c>
      <c r="J71" s="2" t="s">
        <v>66</v>
      </c>
      <c r="K71" s="3" t="b">
        <v>1</v>
      </c>
      <c r="L71" s="2" t="s">
        <v>316</v>
      </c>
      <c r="M71" s="2" t="s">
        <v>317</v>
      </c>
      <c r="N71" s="2" t="s">
        <v>318</v>
      </c>
    </row>
    <row r="72" spans="1:14" ht="27.95" customHeight="1">
      <c r="A72" s="2" t="s">
        <v>319</v>
      </c>
      <c r="B72" s="2" t="s">
        <v>253</v>
      </c>
      <c r="C72" s="2" t="s">
        <v>63</v>
      </c>
      <c r="D72" s="2" t="s">
        <v>50</v>
      </c>
      <c r="E72" s="2" t="s">
        <v>27</v>
      </c>
      <c r="F72" s="2" t="s">
        <v>19</v>
      </c>
      <c r="G72" s="2" t="s">
        <v>64</v>
      </c>
      <c r="H72" s="2" t="s">
        <v>65</v>
      </c>
      <c r="I72" s="2" t="s">
        <v>64</v>
      </c>
      <c r="J72" s="2" t="s">
        <v>66</v>
      </c>
      <c r="K72" s="3" t="b">
        <v>1</v>
      </c>
      <c r="L72" s="2" t="s">
        <v>320</v>
      </c>
      <c r="M72" s="2" t="s">
        <v>321</v>
      </c>
      <c r="N72" s="2" t="s">
        <v>322</v>
      </c>
    </row>
    <row r="73" spans="1:14" ht="27.95" customHeight="1">
      <c r="A73" s="2" t="s">
        <v>323</v>
      </c>
      <c r="B73" s="2" t="s">
        <v>253</v>
      </c>
      <c r="C73" s="2" t="s">
        <v>63</v>
      </c>
      <c r="D73" s="2" t="s">
        <v>50</v>
      </c>
      <c r="E73" s="2" t="s">
        <v>32</v>
      </c>
      <c r="F73" s="2" t="s">
        <v>19</v>
      </c>
      <c r="G73" s="2" t="s">
        <v>64</v>
      </c>
      <c r="H73" s="2" t="s">
        <v>65</v>
      </c>
      <c r="I73" s="2" t="s">
        <v>64</v>
      </c>
      <c r="J73" s="2" t="s">
        <v>66</v>
      </c>
      <c r="K73" s="3" t="b">
        <v>1</v>
      </c>
      <c r="L73" s="2" t="s">
        <v>324</v>
      </c>
      <c r="M73" s="2" t="s">
        <v>325</v>
      </c>
      <c r="N73" s="2" t="s">
        <v>326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3"/>
  <sheetViews>
    <sheetView topLeftCell="A4" workbookViewId="0">
      <selection activeCell="H6" sqref="H6"/>
    </sheetView>
  </sheetViews>
  <sheetFormatPr baseColWidth="10" defaultColWidth="9" defaultRowHeight="14.25"/>
  <cols>
    <col min="1" max="1" width="20" customWidth="1"/>
    <col min="2" max="2" width="15" customWidth="1"/>
    <col min="3" max="3" width="13" customWidth="1"/>
    <col min="4" max="4" width="14" customWidth="1"/>
    <col min="5" max="5" width="12" customWidth="1"/>
    <col min="6" max="6" width="25" customWidth="1"/>
    <col min="7" max="7" width="28" customWidth="1"/>
    <col min="8" max="8" width="32" customWidth="1"/>
    <col min="9" max="9" width="11" customWidth="1"/>
    <col min="10" max="10" width="10" customWidth="1"/>
    <col min="11" max="14" width="25" customWidth="1"/>
    <col min="15" max="20" width="9" customWidth="1"/>
    <col min="21" max="21" width="92" customWidth="1"/>
  </cols>
  <sheetData>
    <row r="1" spans="1:21" s="7" customFormat="1" ht="30">
      <c r="A1" s="6" t="s">
        <v>327</v>
      </c>
      <c r="B1" s="6" t="s">
        <v>1</v>
      </c>
      <c r="C1" s="6" t="s">
        <v>2</v>
      </c>
      <c r="D1" s="6" t="s">
        <v>3</v>
      </c>
      <c r="E1" s="6" t="s">
        <v>4</v>
      </c>
      <c r="F1" s="6" t="s">
        <v>328</v>
      </c>
      <c r="G1" s="6" t="s">
        <v>7</v>
      </c>
      <c r="H1" s="6" t="s">
        <v>8</v>
      </c>
      <c r="I1" s="6" t="s">
        <v>9</v>
      </c>
      <c r="J1" s="6" t="s">
        <v>10</v>
      </c>
      <c r="K1" s="6" t="s">
        <v>329</v>
      </c>
      <c r="L1" s="6" t="s">
        <v>330</v>
      </c>
      <c r="M1" s="6" t="s">
        <v>331</v>
      </c>
      <c r="N1" s="6" t="s">
        <v>332</v>
      </c>
      <c r="O1" s="6" t="s">
        <v>333</v>
      </c>
      <c r="P1" s="6" t="s">
        <v>334</v>
      </c>
      <c r="Q1" s="6" t="s">
        <v>335</v>
      </c>
      <c r="R1" s="6" t="s">
        <v>336</v>
      </c>
      <c r="S1" s="6" t="s">
        <v>337</v>
      </c>
      <c r="T1" s="6" t="s">
        <v>338</v>
      </c>
      <c r="U1" s="6" t="s">
        <v>339</v>
      </c>
    </row>
    <row r="2" spans="1:21" ht="54" customHeight="1">
      <c r="A2" s="2" t="s">
        <v>177</v>
      </c>
      <c r="B2" s="2" t="s">
        <v>340</v>
      </c>
      <c r="C2" s="2" t="s">
        <v>16</v>
      </c>
      <c r="D2" s="2" t="s">
        <v>17</v>
      </c>
      <c r="E2" s="2" t="s">
        <v>18</v>
      </c>
      <c r="F2" s="2" t="s">
        <v>19</v>
      </c>
      <c r="G2" s="2" t="s">
        <v>21</v>
      </c>
      <c r="H2" s="2" t="s">
        <v>179</v>
      </c>
      <c r="I2" s="2">
        <v>61</v>
      </c>
      <c r="J2" s="3" t="b">
        <v>1</v>
      </c>
      <c r="K2" s="4">
        <v>46255.353585798613</v>
      </c>
      <c r="L2" s="4">
        <v>46255.436919131942</v>
      </c>
      <c r="M2" s="4">
        <v>46255.436905439812</v>
      </c>
      <c r="N2" s="4">
        <v>46255.43692083333</v>
      </c>
      <c r="O2" s="5">
        <f t="shared" ref="O2:O33" si="0">IF(AND(F2="MFT-Eintrag vorhanden",G2=IF(C2="A1",".\Lab\Outputs\A1",".\Lab\Outputs\A2"),L2&gt;=M2,L2&lt;=N2),1,0)</f>
        <v>1</v>
      </c>
      <c r="P2" s="5">
        <f t="shared" ref="P2:P33" si="1">IF(O2=1,0,"-")</f>
        <v>0</v>
      </c>
      <c r="Q2" s="5">
        <f t="shared" ref="Q2:Q33" si="2">IF(O2=1,2,"-")</f>
        <v>2</v>
      </c>
      <c r="R2" s="5">
        <f t="shared" ref="R2:R33" si="3">IF(O2=1,0,"-")</f>
        <v>0</v>
      </c>
      <c r="S2" s="5">
        <f t="shared" ref="S2:S33" si="4">IF(O2=1,0,"-")</f>
        <v>0</v>
      </c>
      <c r="T2" s="5">
        <f t="shared" ref="T2:T33" si="5">IF(O2=1,1,"-")</f>
        <v>1</v>
      </c>
      <c r="U2" s="2" t="str">
        <f t="shared" ref="U2:U33" si="6">IF(O2=0,"Kein run-spezifischer MFT-Nachweis.",_xlfn._LONGTEXT("Run-spezifischer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f>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 spans="1:21" ht="54" customHeight="1">
      <c r="A3" s="2" t="s">
        <v>184</v>
      </c>
      <c r="B3" s="2" t="s">
        <v>340</v>
      </c>
      <c r="C3" s="2" t="s">
        <v>16</v>
      </c>
      <c r="D3" s="2" t="s">
        <v>17</v>
      </c>
      <c r="E3" s="2" t="s">
        <v>27</v>
      </c>
      <c r="F3" s="2" t="s">
        <v>19</v>
      </c>
      <c r="G3" s="2" t="s">
        <v>21</v>
      </c>
      <c r="H3" s="2" t="s">
        <v>179</v>
      </c>
      <c r="I3" s="2">
        <v>61</v>
      </c>
      <c r="J3" s="3" t="b">
        <v>1</v>
      </c>
      <c r="K3" s="4">
        <v>46255.365379236115</v>
      </c>
      <c r="L3" s="4">
        <v>46255.448712569443</v>
      </c>
      <c r="M3" s="4">
        <v>46255.448699884262</v>
      </c>
      <c r="N3" s="4">
        <v>46255.448714004633</v>
      </c>
      <c r="O3" s="5">
        <f t="shared" si="0"/>
        <v>1</v>
      </c>
      <c r="P3" s="5">
        <f t="shared" si="1"/>
        <v>0</v>
      </c>
      <c r="Q3" s="5">
        <f t="shared" si="2"/>
        <v>2</v>
      </c>
      <c r="R3" s="5">
        <f t="shared" si="3"/>
        <v>0</v>
      </c>
      <c r="S3" s="5">
        <f t="shared" si="4"/>
        <v>0</v>
      </c>
      <c r="T3" s="5">
        <f t="shared" si="5"/>
        <v>1</v>
      </c>
      <c r="U3"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 spans="1:21" ht="54" customHeight="1">
      <c r="A4" s="2" t="s">
        <v>188</v>
      </c>
      <c r="B4" s="2" t="s">
        <v>340</v>
      </c>
      <c r="C4" s="2" t="s">
        <v>16</v>
      </c>
      <c r="D4" s="2" t="s">
        <v>17</v>
      </c>
      <c r="E4" s="2" t="s">
        <v>32</v>
      </c>
      <c r="F4" s="2" t="s">
        <v>19</v>
      </c>
      <c r="G4" s="2" t="s">
        <v>21</v>
      </c>
      <c r="H4" s="2" t="s">
        <v>179</v>
      </c>
      <c r="I4" s="2">
        <v>61</v>
      </c>
      <c r="J4" s="3" t="b">
        <v>1</v>
      </c>
      <c r="K4" s="4">
        <v>46255.368902118054</v>
      </c>
      <c r="L4" s="4">
        <v>46255.45223545139</v>
      </c>
      <c r="M4" s="4">
        <v>46255.452222453707</v>
      </c>
      <c r="N4" s="4">
        <v>46255.452236921294</v>
      </c>
      <c r="O4" s="5">
        <f t="shared" si="0"/>
        <v>1</v>
      </c>
      <c r="P4" s="5">
        <f t="shared" si="1"/>
        <v>0</v>
      </c>
      <c r="Q4" s="5">
        <f t="shared" si="2"/>
        <v>2</v>
      </c>
      <c r="R4" s="5">
        <f t="shared" si="3"/>
        <v>0</v>
      </c>
      <c r="S4" s="5">
        <f t="shared" si="4"/>
        <v>0</v>
      </c>
      <c r="T4" s="5">
        <f t="shared" si="5"/>
        <v>1</v>
      </c>
      <c r="U4"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 spans="1:21" ht="54" customHeight="1">
      <c r="A5" s="2" t="s">
        <v>192</v>
      </c>
      <c r="B5" s="2" t="s">
        <v>340</v>
      </c>
      <c r="C5" s="2" t="s">
        <v>16</v>
      </c>
      <c r="D5" s="2" t="s">
        <v>37</v>
      </c>
      <c r="E5" s="2" t="s">
        <v>18</v>
      </c>
      <c r="F5" s="2" t="s">
        <v>19</v>
      </c>
      <c r="G5" s="2" t="s">
        <v>21</v>
      </c>
      <c r="H5" s="2" t="s">
        <v>179</v>
      </c>
      <c r="I5" s="2">
        <v>61</v>
      </c>
      <c r="J5" s="3" t="b">
        <v>1</v>
      </c>
      <c r="K5" s="4">
        <v>46255.462024560184</v>
      </c>
      <c r="L5" s="4">
        <v>46255.545357893519</v>
      </c>
      <c r="M5" s="4">
        <v>46255.545343634258</v>
      </c>
      <c r="N5" s="4">
        <v>46255.545359490738</v>
      </c>
      <c r="O5" s="5">
        <f t="shared" si="0"/>
        <v>1</v>
      </c>
      <c r="P5" s="5">
        <f t="shared" si="1"/>
        <v>0</v>
      </c>
      <c r="Q5" s="5">
        <f t="shared" si="2"/>
        <v>2</v>
      </c>
      <c r="R5" s="5">
        <f t="shared" si="3"/>
        <v>0</v>
      </c>
      <c r="S5" s="5">
        <f t="shared" si="4"/>
        <v>0</v>
      </c>
      <c r="T5" s="5">
        <f t="shared" si="5"/>
        <v>1</v>
      </c>
      <c r="U5"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 spans="1:21" ht="54" customHeight="1">
      <c r="A6" s="2" t="s">
        <v>196</v>
      </c>
      <c r="B6" s="2" t="s">
        <v>340</v>
      </c>
      <c r="C6" s="2" t="s">
        <v>16</v>
      </c>
      <c r="D6" s="2" t="s">
        <v>37</v>
      </c>
      <c r="E6" s="2" t="s">
        <v>27</v>
      </c>
      <c r="F6" s="2" t="s">
        <v>19</v>
      </c>
      <c r="G6" s="2" t="s">
        <v>21</v>
      </c>
      <c r="H6" s="2" t="s">
        <v>179</v>
      </c>
      <c r="I6" s="2">
        <v>61</v>
      </c>
      <c r="J6" s="3" t="b">
        <v>1</v>
      </c>
      <c r="K6" s="4">
        <v>46255.465776527781</v>
      </c>
      <c r="L6" s="4">
        <v>46255.549109861109</v>
      </c>
      <c r="M6" s="4">
        <v>46255.549096875002</v>
      </c>
      <c r="N6" s="4">
        <v>46255.549111458335</v>
      </c>
      <c r="O6" s="5">
        <f t="shared" si="0"/>
        <v>1</v>
      </c>
      <c r="P6" s="5">
        <f t="shared" si="1"/>
        <v>0</v>
      </c>
      <c r="Q6" s="5">
        <f t="shared" si="2"/>
        <v>2</v>
      </c>
      <c r="R6" s="5">
        <f t="shared" si="3"/>
        <v>0</v>
      </c>
      <c r="S6" s="5">
        <f t="shared" si="4"/>
        <v>0</v>
      </c>
      <c r="T6" s="5">
        <f t="shared" si="5"/>
        <v>1</v>
      </c>
      <c r="U6"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7" spans="1:21" ht="54" customHeight="1">
      <c r="A7" s="2" t="s">
        <v>200</v>
      </c>
      <c r="B7" s="2" t="s">
        <v>340</v>
      </c>
      <c r="C7" s="2" t="s">
        <v>16</v>
      </c>
      <c r="D7" s="2" t="s">
        <v>37</v>
      </c>
      <c r="E7" s="2" t="s">
        <v>32</v>
      </c>
      <c r="F7" s="2" t="s">
        <v>19</v>
      </c>
      <c r="G7" s="2" t="s">
        <v>21</v>
      </c>
      <c r="H7" s="2" t="s">
        <v>179</v>
      </c>
      <c r="I7" s="2">
        <v>61</v>
      </c>
      <c r="J7" s="3" t="b">
        <v>1</v>
      </c>
      <c r="K7" s="4">
        <v>46255.471505706017</v>
      </c>
      <c r="L7" s="4">
        <v>46255.554839039352</v>
      </c>
      <c r="M7" s="4">
        <v>46255.554824305553</v>
      </c>
      <c r="N7" s="4">
        <v>46255.55484074074</v>
      </c>
      <c r="O7" s="5">
        <f t="shared" si="0"/>
        <v>1</v>
      </c>
      <c r="P7" s="5">
        <f t="shared" si="1"/>
        <v>0</v>
      </c>
      <c r="Q7" s="5">
        <f t="shared" si="2"/>
        <v>2</v>
      </c>
      <c r="R7" s="5">
        <f t="shared" si="3"/>
        <v>0</v>
      </c>
      <c r="S7" s="5">
        <f t="shared" si="4"/>
        <v>0</v>
      </c>
      <c r="T7" s="5">
        <f t="shared" si="5"/>
        <v>1</v>
      </c>
      <c r="U7"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8" spans="1:21" ht="54" customHeight="1">
      <c r="A8" s="2" t="s">
        <v>204</v>
      </c>
      <c r="B8" s="2" t="s">
        <v>340</v>
      </c>
      <c r="C8" s="2" t="s">
        <v>16</v>
      </c>
      <c r="D8" s="2" t="s">
        <v>50</v>
      </c>
      <c r="E8" s="2" t="s">
        <v>18</v>
      </c>
      <c r="F8" s="2" t="s">
        <v>19</v>
      </c>
      <c r="G8" s="2" t="s">
        <v>21</v>
      </c>
      <c r="H8" s="2" t="s">
        <v>179</v>
      </c>
      <c r="I8" s="2">
        <v>61</v>
      </c>
      <c r="J8" s="3" t="b">
        <v>1</v>
      </c>
      <c r="K8" s="4">
        <v>46255.572232222221</v>
      </c>
      <c r="L8" s="4">
        <v>46255.655565555557</v>
      </c>
      <c r="M8" s="4">
        <v>46255.655487615739</v>
      </c>
      <c r="N8" s="4">
        <v>46255.65556712963</v>
      </c>
      <c r="O8" s="5">
        <f t="shared" si="0"/>
        <v>1</v>
      </c>
      <c r="P8" s="5">
        <f t="shared" si="1"/>
        <v>0</v>
      </c>
      <c r="Q8" s="5">
        <f t="shared" si="2"/>
        <v>2</v>
      </c>
      <c r="R8" s="5">
        <f t="shared" si="3"/>
        <v>0</v>
      </c>
      <c r="S8" s="5">
        <f t="shared" si="4"/>
        <v>0</v>
      </c>
      <c r="T8" s="5">
        <f t="shared" si="5"/>
        <v>1</v>
      </c>
      <c r="U8"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9" spans="1:21" ht="54" customHeight="1">
      <c r="A9" s="2" t="s">
        <v>208</v>
      </c>
      <c r="B9" s="2" t="s">
        <v>340</v>
      </c>
      <c r="C9" s="2" t="s">
        <v>16</v>
      </c>
      <c r="D9" s="2" t="s">
        <v>50</v>
      </c>
      <c r="E9" s="2" t="s">
        <v>27</v>
      </c>
      <c r="F9" s="2" t="s">
        <v>19</v>
      </c>
      <c r="G9" s="2" t="s">
        <v>21</v>
      </c>
      <c r="H9" s="2" t="s">
        <v>179</v>
      </c>
      <c r="I9" s="2">
        <v>61</v>
      </c>
      <c r="J9" s="3" t="b">
        <v>1</v>
      </c>
      <c r="K9" s="4">
        <v>46255.578989340276</v>
      </c>
      <c r="L9" s="4">
        <v>46255.662322673612</v>
      </c>
      <c r="M9" s="4">
        <v>46255.662316666669</v>
      </c>
      <c r="N9" s="4">
        <v>46255.66232372685</v>
      </c>
      <c r="O9" s="5">
        <f t="shared" si="0"/>
        <v>1</v>
      </c>
      <c r="P9" s="5">
        <f t="shared" si="1"/>
        <v>0</v>
      </c>
      <c r="Q9" s="5">
        <f t="shared" si="2"/>
        <v>2</v>
      </c>
      <c r="R9" s="5">
        <f t="shared" si="3"/>
        <v>0</v>
      </c>
      <c r="S9" s="5">
        <f t="shared" si="4"/>
        <v>0</v>
      </c>
      <c r="T9" s="5">
        <f t="shared" si="5"/>
        <v>1</v>
      </c>
      <c r="U9"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0" spans="1:21" ht="54" customHeight="1">
      <c r="A10" s="2" t="s">
        <v>212</v>
      </c>
      <c r="B10" s="2" t="s">
        <v>340</v>
      </c>
      <c r="C10" s="2" t="s">
        <v>16</v>
      </c>
      <c r="D10" s="2" t="s">
        <v>50</v>
      </c>
      <c r="E10" s="2" t="s">
        <v>32</v>
      </c>
      <c r="F10" s="2" t="s">
        <v>19</v>
      </c>
      <c r="G10" s="2" t="s">
        <v>21</v>
      </c>
      <c r="H10" s="2" t="s">
        <v>179</v>
      </c>
      <c r="I10" s="2">
        <v>61</v>
      </c>
      <c r="J10" s="3" t="b">
        <v>1</v>
      </c>
      <c r="K10" s="4">
        <v>46255.584091168981</v>
      </c>
      <c r="L10" s="4">
        <v>46255.667424502317</v>
      </c>
      <c r="M10" s="4">
        <v>46255.667409837966</v>
      </c>
      <c r="N10" s="4">
        <v>46255.667426504631</v>
      </c>
      <c r="O10" s="5">
        <f t="shared" si="0"/>
        <v>1</v>
      </c>
      <c r="P10" s="5">
        <f t="shared" si="1"/>
        <v>0</v>
      </c>
      <c r="Q10" s="5">
        <f t="shared" si="2"/>
        <v>2</v>
      </c>
      <c r="R10" s="5">
        <f t="shared" si="3"/>
        <v>0</v>
      </c>
      <c r="S10" s="5">
        <f t="shared" si="4"/>
        <v>0</v>
      </c>
      <c r="T10" s="5">
        <f t="shared" si="5"/>
        <v>1</v>
      </c>
      <c r="U10"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1" spans="1:21" ht="54" customHeight="1">
      <c r="A11" s="2" t="s">
        <v>216</v>
      </c>
      <c r="B11" s="2" t="s">
        <v>340</v>
      </c>
      <c r="C11" s="2" t="s">
        <v>63</v>
      </c>
      <c r="D11" s="2" t="s">
        <v>17</v>
      </c>
      <c r="E11" s="2" t="s">
        <v>18</v>
      </c>
      <c r="F11" s="2" t="s">
        <v>19</v>
      </c>
      <c r="G11" s="2" t="s">
        <v>65</v>
      </c>
      <c r="H11" s="2" t="s">
        <v>64</v>
      </c>
      <c r="I11" s="2">
        <v>125</v>
      </c>
      <c r="J11" s="3" t="b">
        <v>1</v>
      </c>
      <c r="K11" s="4">
        <v>46255.375079872683</v>
      </c>
      <c r="L11" s="4">
        <v>46255.458413206019</v>
      </c>
      <c r="M11" s="4">
        <v>46255.458393518522</v>
      </c>
      <c r="N11" s="4">
        <v>46255.458414583336</v>
      </c>
      <c r="O11" s="5">
        <f t="shared" si="0"/>
        <v>1</v>
      </c>
      <c r="P11" s="5">
        <f t="shared" si="1"/>
        <v>0</v>
      </c>
      <c r="Q11" s="5">
        <f t="shared" si="2"/>
        <v>2</v>
      </c>
      <c r="R11" s="5">
        <f t="shared" si="3"/>
        <v>0</v>
      </c>
      <c r="S11" s="5">
        <f t="shared" si="4"/>
        <v>0</v>
      </c>
      <c r="T11" s="5">
        <f t="shared" si="5"/>
        <v>1</v>
      </c>
      <c r="U11"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2" spans="1:21" ht="54" customHeight="1">
      <c r="A12" s="2" t="s">
        <v>220</v>
      </c>
      <c r="B12" s="2" t="s">
        <v>340</v>
      </c>
      <c r="C12" s="2" t="s">
        <v>63</v>
      </c>
      <c r="D12" s="2" t="s">
        <v>17</v>
      </c>
      <c r="E12" s="2" t="s">
        <v>27</v>
      </c>
      <c r="F12" s="2" t="s">
        <v>19</v>
      </c>
      <c r="G12" s="2" t="s">
        <v>65</v>
      </c>
      <c r="H12" s="2" t="s">
        <v>64</v>
      </c>
      <c r="I12" s="2">
        <v>125</v>
      </c>
      <c r="J12" s="3" t="b">
        <v>1</v>
      </c>
      <c r="K12" s="4">
        <v>46255.380855891206</v>
      </c>
      <c r="L12" s="4">
        <v>46255.464189224534</v>
      </c>
      <c r="M12" s="4">
        <v>46255.46417175926</v>
      </c>
      <c r="N12" s="4">
        <v>46255.464190740742</v>
      </c>
      <c r="O12" s="5">
        <f t="shared" si="0"/>
        <v>1</v>
      </c>
      <c r="P12" s="5">
        <f t="shared" si="1"/>
        <v>0</v>
      </c>
      <c r="Q12" s="5">
        <f t="shared" si="2"/>
        <v>2</v>
      </c>
      <c r="R12" s="5">
        <f t="shared" si="3"/>
        <v>0</v>
      </c>
      <c r="S12" s="5">
        <f t="shared" si="4"/>
        <v>0</v>
      </c>
      <c r="T12" s="5">
        <f t="shared" si="5"/>
        <v>1</v>
      </c>
      <c r="U12"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3" spans="1:21" ht="54" customHeight="1">
      <c r="A13" s="2" t="s">
        <v>224</v>
      </c>
      <c r="B13" s="2" t="s">
        <v>340</v>
      </c>
      <c r="C13" s="2" t="s">
        <v>63</v>
      </c>
      <c r="D13" s="2" t="s">
        <v>17</v>
      </c>
      <c r="E13" s="2" t="s">
        <v>32</v>
      </c>
      <c r="F13" s="2" t="s">
        <v>19</v>
      </c>
      <c r="G13" s="2" t="s">
        <v>65</v>
      </c>
      <c r="H13" s="2" t="s">
        <v>64</v>
      </c>
      <c r="I13" s="2">
        <v>125</v>
      </c>
      <c r="J13" s="3" t="b">
        <v>1</v>
      </c>
      <c r="K13" s="4">
        <v>46255.384975983798</v>
      </c>
      <c r="L13" s="4">
        <v>46255.468309317126</v>
      </c>
      <c r="M13" s="4">
        <v>46255.468292939811</v>
      </c>
      <c r="N13" s="4">
        <v>46255.468310648146</v>
      </c>
      <c r="O13" s="5">
        <f t="shared" si="0"/>
        <v>1</v>
      </c>
      <c r="P13" s="5">
        <f t="shared" si="1"/>
        <v>0</v>
      </c>
      <c r="Q13" s="5">
        <f t="shared" si="2"/>
        <v>2</v>
      </c>
      <c r="R13" s="5">
        <f t="shared" si="3"/>
        <v>0</v>
      </c>
      <c r="S13" s="5">
        <f t="shared" si="4"/>
        <v>0</v>
      </c>
      <c r="T13" s="5">
        <f t="shared" si="5"/>
        <v>1</v>
      </c>
      <c r="U13"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4" spans="1:21" ht="54" customHeight="1">
      <c r="A14" s="2" t="s">
        <v>228</v>
      </c>
      <c r="B14" s="2" t="s">
        <v>340</v>
      </c>
      <c r="C14" s="2" t="s">
        <v>63</v>
      </c>
      <c r="D14" s="2" t="s">
        <v>37</v>
      </c>
      <c r="E14" s="2" t="s">
        <v>18</v>
      </c>
      <c r="F14" s="2" t="s">
        <v>19</v>
      </c>
      <c r="G14" s="2" t="s">
        <v>65</v>
      </c>
      <c r="H14" s="2" t="s">
        <v>64</v>
      </c>
      <c r="I14" s="2">
        <v>125</v>
      </c>
      <c r="J14" s="3" t="b">
        <v>1</v>
      </c>
      <c r="K14" s="4">
        <v>46255.474618518521</v>
      </c>
      <c r="L14" s="4">
        <v>46255.55795185185</v>
      </c>
      <c r="M14" s="4">
        <v>46255.557934490738</v>
      </c>
      <c r="N14" s="4">
        <v>46255.557953703705</v>
      </c>
      <c r="O14" s="5">
        <f t="shared" si="0"/>
        <v>1</v>
      </c>
      <c r="P14" s="5">
        <f t="shared" si="1"/>
        <v>0</v>
      </c>
      <c r="Q14" s="5">
        <f t="shared" si="2"/>
        <v>2</v>
      </c>
      <c r="R14" s="5">
        <f t="shared" si="3"/>
        <v>0</v>
      </c>
      <c r="S14" s="5">
        <f t="shared" si="4"/>
        <v>0</v>
      </c>
      <c r="T14" s="5">
        <f t="shared" si="5"/>
        <v>1</v>
      </c>
      <c r="U14"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5" spans="1:21" ht="54" customHeight="1">
      <c r="A15" s="2" t="s">
        <v>232</v>
      </c>
      <c r="B15" s="2" t="s">
        <v>340</v>
      </c>
      <c r="C15" s="2" t="s">
        <v>63</v>
      </c>
      <c r="D15" s="2" t="s">
        <v>37</v>
      </c>
      <c r="E15" s="2" t="s">
        <v>27</v>
      </c>
      <c r="F15" s="2" t="s">
        <v>19</v>
      </c>
      <c r="G15" s="2" t="s">
        <v>65</v>
      </c>
      <c r="H15" s="2" t="s">
        <v>64</v>
      </c>
      <c r="I15" s="2">
        <v>125</v>
      </c>
      <c r="J15" s="3" t="b">
        <v>1</v>
      </c>
      <c r="K15" s="4">
        <v>46255.478444490742</v>
      </c>
      <c r="L15" s="4">
        <v>46255.561777824078</v>
      </c>
      <c r="M15" s="4">
        <v>46255.561761111108</v>
      </c>
      <c r="N15" s="4">
        <v>46255.56177951389</v>
      </c>
      <c r="O15" s="5">
        <f t="shared" si="0"/>
        <v>1</v>
      </c>
      <c r="P15" s="5">
        <f t="shared" si="1"/>
        <v>0</v>
      </c>
      <c r="Q15" s="5">
        <f t="shared" si="2"/>
        <v>2</v>
      </c>
      <c r="R15" s="5">
        <f t="shared" si="3"/>
        <v>0</v>
      </c>
      <c r="S15" s="5">
        <f t="shared" si="4"/>
        <v>0</v>
      </c>
      <c r="T15" s="5">
        <f t="shared" si="5"/>
        <v>1</v>
      </c>
      <c r="U15"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6" spans="1:21" ht="54" customHeight="1">
      <c r="A16" s="2" t="s">
        <v>236</v>
      </c>
      <c r="B16" s="2" t="s">
        <v>340</v>
      </c>
      <c r="C16" s="2" t="s">
        <v>63</v>
      </c>
      <c r="D16" s="2" t="s">
        <v>37</v>
      </c>
      <c r="E16" s="2" t="s">
        <v>32</v>
      </c>
      <c r="F16" s="2" t="s">
        <v>19</v>
      </c>
      <c r="G16" s="2" t="s">
        <v>65</v>
      </c>
      <c r="H16" s="2" t="s">
        <v>64</v>
      </c>
      <c r="I16" s="2">
        <v>125</v>
      </c>
      <c r="J16" s="3" t="b">
        <v>1</v>
      </c>
      <c r="K16" s="4">
        <v>46255.481582418979</v>
      </c>
      <c r="L16" s="4">
        <v>46255.564915752315</v>
      </c>
      <c r="M16" s="4">
        <v>46255.564901273145</v>
      </c>
      <c r="N16" s="4">
        <v>46255.56491724537</v>
      </c>
      <c r="O16" s="5">
        <f t="shared" si="0"/>
        <v>1</v>
      </c>
      <c r="P16" s="5">
        <f t="shared" si="1"/>
        <v>0</v>
      </c>
      <c r="Q16" s="5">
        <f t="shared" si="2"/>
        <v>2</v>
      </c>
      <c r="R16" s="5">
        <f t="shared" si="3"/>
        <v>0</v>
      </c>
      <c r="S16" s="5">
        <f t="shared" si="4"/>
        <v>0</v>
      </c>
      <c r="T16" s="5">
        <f t="shared" si="5"/>
        <v>1</v>
      </c>
      <c r="U16"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7" spans="1:21" ht="54" customHeight="1">
      <c r="A17" s="2" t="s">
        <v>240</v>
      </c>
      <c r="B17" s="2" t="s">
        <v>340</v>
      </c>
      <c r="C17" s="2" t="s">
        <v>63</v>
      </c>
      <c r="D17" s="2" t="s">
        <v>50</v>
      </c>
      <c r="E17" s="2" t="s">
        <v>18</v>
      </c>
      <c r="F17" s="2" t="s">
        <v>19</v>
      </c>
      <c r="G17" s="2" t="s">
        <v>65</v>
      </c>
      <c r="H17" s="2" t="s">
        <v>64</v>
      </c>
      <c r="I17" s="2">
        <v>125</v>
      </c>
      <c r="J17" s="3" t="b">
        <v>1</v>
      </c>
      <c r="K17" s="4">
        <v>46255.589939768521</v>
      </c>
      <c r="L17" s="4">
        <v>46255.673273101849</v>
      </c>
      <c r="M17" s="4">
        <v>46255.673263425924</v>
      </c>
      <c r="N17" s="4">
        <v>46255.673274652778</v>
      </c>
      <c r="O17" s="5">
        <f t="shared" si="0"/>
        <v>1</v>
      </c>
      <c r="P17" s="5">
        <f t="shared" si="1"/>
        <v>0</v>
      </c>
      <c r="Q17" s="5">
        <f t="shared" si="2"/>
        <v>2</v>
      </c>
      <c r="R17" s="5">
        <f t="shared" si="3"/>
        <v>0</v>
      </c>
      <c r="S17" s="5">
        <f t="shared" si="4"/>
        <v>0</v>
      </c>
      <c r="T17" s="5">
        <f t="shared" si="5"/>
        <v>1</v>
      </c>
      <c r="U17"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8" spans="1:21" ht="54" customHeight="1">
      <c r="A18" s="2" t="s">
        <v>244</v>
      </c>
      <c r="B18" s="2" t="s">
        <v>340</v>
      </c>
      <c r="C18" s="2" t="s">
        <v>63</v>
      </c>
      <c r="D18" s="2" t="s">
        <v>50</v>
      </c>
      <c r="E18" s="2" t="s">
        <v>27</v>
      </c>
      <c r="F18" s="2" t="s">
        <v>19</v>
      </c>
      <c r="G18" s="2" t="s">
        <v>65</v>
      </c>
      <c r="H18" s="2" t="s">
        <v>64</v>
      </c>
      <c r="I18" s="2">
        <v>125</v>
      </c>
      <c r="J18" s="3" t="b">
        <v>1</v>
      </c>
      <c r="K18" s="4">
        <v>46255.596208252318</v>
      </c>
      <c r="L18" s="4">
        <v>46255.679541585647</v>
      </c>
      <c r="M18" s="4">
        <v>46255.679533564813</v>
      </c>
      <c r="N18" s="4">
        <v>46255.679542939812</v>
      </c>
      <c r="O18" s="5">
        <f t="shared" si="0"/>
        <v>1</v>
      </c>
      <c r="P18" s="5">
        <f t="shared" si="1"/>
        <v>0</v>
      </c>
      <c r="Q18" s="5">
        <f t="shared" si="2"/>
        <v>2</v>
      </c>
      <c r="R18" s="5">
        <f t="shared" si="3"/>
        <v>0</v>
      </c>
      <c r="S18" s="5">
        <f t="shared" si="4"/>
        <v>0</v>
      </c>
      <c r="T18" s="5">
        <f t="shared" si="5"/>
        <v>1</v>
      </c>
      <c r="U18"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19" spans="1:21" ht="54" customHeight="1">
      <c r="A19" s="2" t="s">
        <v>248</v>
      </c>
      <c r="B19" s="2" t="s">
        <v>340</v>
      </c>
      <c r="C19" s="2" t="s">
        <v>63</v>
      </c>
      <c r="D19" s="2" t="s">
        <v>50</v>
      </c>
      <c r="E19" s="2" t="s">
        <v>32</v>
      </c>
      <c r="F19" s="2" t="s">
        <v>19</v>
      </c>
      <c r="G19" s="2" t="s">
        <v>65</v>
      </c>
      <c r="H19" s="2" t="s">
        <v>64</v>
      </c>
      <c r="I19" s="2">
        <v>125</v>
      </c>
      <c r="J19" s="3" t="b">
        <v>1</v>
      </c>
      <c r="K19" s="4">
        <v>46255.603729270835</v>
      </c>
      <c r="L19" s="4">
        <v>46255.687062604164</v>
      </c>
      <c r="M19" s="4">
        <v>46255.687052662041</v>
      </c>
      <c r="N19" s="4">
        <v>46255.687064467595</v>
      </c>
      <c r="O19" s="5">
        <f t="shared" si="0"/>
        <v>1</v>
      </c>
      <c r="P19" s="5">
        <f t="shared" si="1"/>
        <v>0</v>
      </c>
      <c r="Q19" s="5">
        <f t="shared" si="2"/>
        <v>2</v>
      </c>
      <c r="R19" s="5">
        <f t="shared" si="3"/>
        <v>0</v>
      </c>
      <c r="S19" s="5">
        <f t="shared" si="4"/>
        <v>0</v>
      </c>
      <c r="T19" s="5">
        <f t="shared" si="5"/>
        <v>1</v>
      </c>
      <c r="U19"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0" spans="1:21" ht="54" customHeight="1">
      <c r="A20" s="2" t="s">
        <v>102</v>
      </c>
      <c r="B20" s="2" t="s">
        <v>341</v>
      </c>
      <c r="C20" s="2" t="s">
        <v>16</v>
      </c>
      <c r="D20" s="2" t="s">
        <v>17</v>
      </c>
      <c r="E20" s="2" t="s">
        <v>18</v>
      </c>
      <c r="F20" s="2" t="s">
        <v>19</v>
      </c>
      <c r="G20" s="2" t="s">
        <v>21</v>
      </c>
      <c r="H20" s="2" t="s">
        <v>104</v>
      </c>
      <c r="I20" s="2">
        <v>53</v>
      </c>
      <c r="J20" s="3" t="b">
        <v>1</v>
      </c>
      <c r="K20" s="4">
        <v>46255.389713020835</v>
      </c>
      <c r="L20" s="4">
        <v>46255.473046354164</v>
      </c>
      <c r="M20" s="4">
        <v>46255.473043749997</v>
      </c>
      <c r="N20" s="4">
        <v>46255.473047569445</v>
      </c>
      <c r="O20" s="5">
        <f t="shared" si="0"/>
        <v>1</v>
      </c>
      <c r="P20" s="5">
        <f t="shared" si="1"/>
        <v>0</v>
      </c>
      <c r="Q20" s="5">
        <f t="shared" si="2"/>
        <v>2</v>
      </c>
      <c r="R20" s="5">
        <f t="shared" si="3"/>
        <v>0</v>
      </c>
      <c r="S20" s="5">
        <f t="shared" si="4"/>
        <v>0</v>
      </c>
      <c r="T20" s="5">
        <f t="shared" si="5"/>
        <v>1</v>
      </c>
      <c r="U20"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1" spans="1:21" ht="54" customHeight="1">
      <c r="A21" s="2" t="s">
        <v>109</v>
      </c>
      <c r="B21" s="2" t="s">
        <v>341</v>
      </c>
      <c r="C21" s="2" t="s">
        <v>16</v>
      </c>
      <c r="D21" s="2" t="s">
        <v>17</v>
      </c>
      <c r="E21" s="2" t="s">
        <v>27</v>
      </c>
      <c r="F21" s="2" t="s">
        <v>19</v>
      </c>
      <c r="G21" s="2" t="s">
        <v>21</v>
      </c>
      <c r="H21" s="2" t="s">
        <v>104</v>
      </c>
      <c r="I21" s="2">
        <v>53</v>
      </c>
      <c r="J21" s="3" t="b">
        <v>1</v>
      </c>
      <c r="K21" s="4">
        <v>46255.394485648147</v>
      </c>
      <c r="L21" s="4">
        <v>46255.477818981482</v>
      </c>
      <c r="M21" s="4">
        <v>46255.477816782404</v>
      </c>
      <c r="N21" s="4">
        <v>46255.477820023145</v>
      </c>
      <c r="O21" s="5">
        <f t="shared" si="0"/>
        <v>1</v>
      </c>
      <c r="P21" s="5">
        <f t="shared" si="1"/>
        <v>0</v>
      </c>
      <c r="Q21" s="5">
        <f t="shared" si="2"/>
        <v>2</v>
      </c>
      <c r="R21" s="5">
        <f t="shared" si="3"/>
        <v>0</v>
      </c>
      <c r="S21" s="5">
        <f t="shared" si="4"/>
        <v>0</v>
      </c>
      <c r="T21" s="5">
        <f t="shared" si="5"/>
        <v>1</v>
      </c>
      <c r="U21"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2" spans="1:21" ht="54" customHeight="1">
      <c r="A22" s="2" t="s">
        <v>113</v>
      </c>
      <c r="B22" s="2" t="s">
        <v>341</v>
      </c>
      <c r="C22" s="2" t="s">
        <v>16</v>
      </c>
      <c r="D22" s="2" t="s">
        <v>17</v>
      </c>
      <c r="E22" s="2" t="s">
        <v>32</v>
      </c>
      <c r="F22" s="2" t="s">
        <v>19</v>
      </c>
      <c r="G22" s="2" t="s">
        <v>21</v>
      </c>
      <c r="H22" s="2" t="s">
        <v>104</v>
      </c>
      <c r="I22" s="2">
        <v>53</v>
      </c>
      <c r="J22" s="3" t="b">
        <v>1</v>
      </c>
      <c r="K22" s="4">
        <v>46255.401676122689</v>
      </c>
      <c r="L22" s="4">
        <v>46255.485009456017</v>
      </c>
      <c r="M22" s="4">
        <v>46255.485006828705</v>
      </c>
      <c r="N22" s="4">
        <v>46255.485011458331</v>
      </c>
      <c r="O22" s="5">
        <f t="shared" si="0"/>
        <v>1</v>
      </c>
      <c r="P22" s="5">
        <f t="shared" si="1"/>
        <v>0</v>
      </c>
      <c r="Q22" s="5">
        <f t="shared" si="2"/>
        <v>2</v>
      </c>
      <c r="R22" s="5">
        <f t="shared" si="3"/>
        <v>0</v>
      </c>
      <c r="S22" s="5">
        <f t="shared" si="4"/>
        <v>0</v>
      </c>
      <c r="T22" s="5">
        <f t="shared" si="5"/>
        <v>1</v>
      </c>
      <c r="U22"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3" spans="1:21" ht="54" customHeight="1">
      <c r="A23" s="2" t="s">
        <v>117</v>
      </c>
      <c r="B23" s="2" t="s">
        <v>341</v>
      </c>
      <c r="C23" s="2" t="s">
        <v>16</v>
      </c>
      <c r="D23" s="2" t="s">
        <v>37</v>
      </c>
      <c r="E23" s="2" t="s">
        <v>18</v>
      </c>
      <c r="F23" s="2" t="s">
        <v>19</v>
      </c>
      <c r="G23" s="2" t="s">
        <v>21</v>
      </c>
      <c r="H23" s="2" t="s">
        <v>104</v>
      </c>
      <c r="I23" s="2">
        <v>53</v>
      </c>
      <c r="J23" s="3" t="b">
        <v>1</v>
      </c>
      <c r="K23" s="4">
        <v>46255.48494509259</v>
      </c>
      <c r="L23" s="4">
        <v>46255.568278425926</v>
      </c>
      <c r="M23" s="4">
        <v>46255.56827152778</v>
      </c>
      <c r="N23" s="4">
        <v>46255.568279629631</v>
      </c>
      <c r="O23" s="5">
        <f t="shared" si="0"/>
        <v>1</v>
      </c>
      <c r="P23" s="5">
        <f t="shared" si="1"/>
        <v>0</v>
      </c>
      <c r="Q23" s="5">
        <f t="shared" si="2"/>
        <v>2</v>
      </c>
      <c r="R23" s="5">
        <f t="shared" si="3"/>
        <v>0</v>
      </c>
      <c r="S23" s="5">
        <f t="shared" si="4"/>
        <v>0</v>
      </c>
      <c r="T23" s="5">
        <f t="shared" si="5"/>
        <v>1</v>
      </c>
      <c r="U23"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4" spans="1:21" ht="54" customHeight="1">
      <c r="A24" s="2" t="s">
        <v>121</v>
      </c>
      <c r="B24" s="2" t="s">
        <v>341</v>
      </c>
      <c r="C24" s="2" t="s">
        <v>16</v>
      </c>
      <c r="D24" s="2" t="s">
        <v>37</v>
      </c>
      <c r="E24" s="2" t="s">
        <v>27</v>
      </c>
      <c r="F24" s="2" t="s">
        <v>19</v>
      </c>
      <c r="G24" s="2" t="s">
        <v>21</v>
      </c>
      <c r="H24" s="2" t="s">
        <v>104</v>
      </c>
      <c r="I24" s="2">
        <v>53</v>
      </c>
      <c r="J24" s="3" t="b">
        <v>1</v>
      </c>
      <c r="K24" s="4">
        <v>46255.488190601849</v>
      </c>
      <c r="L24" s="4">
        <v>46255.571523935185</v>
      </c>
      <c r="M24" s="4">
        <v>46255.571517245371</v>
      </c>
      <c r="N24" s="4">
        <v>46255.571524999999</v>
      </c>
      <c r="O24" s="5">
        <f t="shared" si="0"/>
        <v>1</v>
      </c>
      <c r="P24" s="5">
        <f t="shared" si="1"/>
        <v>0</v>
      </c>
      <c r="Q24" s="5">
        <f t="shared" si="2"/>
        <v>2</v>
      </c>
      <c r="R24" s="5">
        <f t="shared" si="3"/>
        <v>0</v>
      </c>
      <c r="S24" s="5">
        <f t="shared" si="4"/>
        <v>0</v>
      </c>
      <c r="T24" s="5">
        <f t="shared" si="5"/>
        <v>1</v>
      </c>
      <c r="U24"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5" spans="1:21" ht="54" customHeight="1">
      <c r="A25" s="2" t="s">
        <v>125</v>
      </c>
      <c r="B25" s="2" t="s">
        <v>341</v>
      </c>
      <c r="C25" s="2" t="s">
        <v>16</v>
      </c>
      <c r="D25" s="2" t="s">
        <v>37</v>
      </c>
      <c r="E25" s="2" t="s">
        <v>32</v>
      </c>
      <c r="F25" s="2" t="s">
        <v>19</v>
      </c>
      <c r="G25" s="2" t="s">
        <v>21</v>
      </c>
      <c r="H25" s="2" t="s">
        <v>104</v>
      </c>
      <c r="I25" s="2">
        <v>53</v>
      </c>
      <c r="J25" s="3" t="b">
        <v>1</v>
      </c>
      <c r="K25" s="4">
        <v>46255.491441319442</v>
      </c>
      <c r="L25" s="4">
        <v>46255.574774652778</v>
      </c>
      <c r="M25" s="4">
        <v>46255.574768981482</v>
      </c>
      <c r="N25" s="4">
        <v>46255.574775694447</v>
      </c>
      <c r="O25" s="5">
        <f t="shared" si="0"/>
        <v>1</v>
      </c>
      <c r="P25" s="5">
        <f t="shared" si="1"/>
        <v>0</v>
      </c>
      <c r="Q25" s="5">
        <f t="shared" si="2"/>
        <v>2</v>
      </c>
      <c r="R25" s="5">
        <f t="shared" si="3"/>
        <v>0</v>
      </c>
      <c r="S25" s="5">
        <f t="shared" si="4"/>
        <v>0</v>
      </c>
      <c r="T25" s="5">
        <f t="shared" si="5"/>
        <v>1</v>
      </c>
      <c r="U25"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6" spans="1:21" ht="54" customHeight="1">
      <c r="A26" s="2" t="s">
        <v>129</v>
      </c>
      <c r="B26" s="2" t="s">
        <v>341</v>
      </c>
      <c r="C26" s="2" t="s">
        <v>16</v>
      </c>
      <c r="D26" s="2" t="s">
        <v>50</v>
      </c>
      <c r="E26" s="2" t="s">
        <v>18</v>
      </c>
      <c r="F26" s="2" t="s">
        <v>19</v>
      </c>
      <c r="G26" s="2" t="s">
        <v>21</v>
      </c>
      <c r="H26" s="2" t="s">
        <v>104</v>
      </c>
      <c r="I26" s="2">
        <v>53</v>
      </c>
      <c r="J26" s="3" t="b">
        <v>1</v>
      </c>
      <c r="K26" s="4">
        <v>46255.610759374998</v>
      </c>
      <c r="L26" s="4">
        <v>46255.694092708334</v>
      </c>
      <c r="M26" s="4">
        <v>46255.694083449074</v>
      </c>
      <c r="N26" s="4">
        <v>46255.694095833336</v>
      </c>
      <c r="O26" s="5">
        <f t="shared" si="0"/>
        <v>1</v>
      </c>
      <c r="P26" s="5">
        <f t="shared" si="1"/>
        <v>0</v>
      </c>
      <c r="Q26" s="5">
        <f t="shared" si="2"/>
        <v>2</v>
      </c>
      <c r="R26" s="5">
        <f t="shared" si="3"/>
        <v>0</v>
      </c>
      <c r="S26" s="5">
        <f t="shared" si="4"/>
        <v>0</v>
      </c>
      <c r="T26" s="5">
        <f t="shared" si="5"/>
        <v>1</v>
      </c>
      <c r="U26"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7" spans="1:21" ht="54" customHeight="1">
      <c r="A27" s="2" t="s">
        <v>133</v>
      </c>
      <c r="B27" s="2" t="s">
        <v>341</v>
      </c>
      <c r="C27" s="2" t="s">
        <v>16</v>
      </c>
      <c r="D27" s="2" t="s">
        <v>50</v>
      </c>
      <c r="E27" s="2" t="s">
        <v>27</v>
      </c>
      <c r="F27" s="2" t="s">
        <v>19</v>
      </c>
      <c r="G27" s="2" t="s">
        <v>21</v>
      </c>
      <c r="H27" s="2" t="s">
        <v>104</v>
      </c>
      <c r="I27" s="2">
        <v>53</v>
      </c>
      <c r="J27" s="3" t="b">
        <v>1</v>
      </c>
      <c r="K27" s="4">
        <v>46255.622514039351</v>
      </c>
      <c r="L27" s="4">
        <v>46255.705847372687</v>
      </c>
      <c r="M27" s="4">
        <v>46255.705837384259</v>
      </c>
      <c r="N27" s="4">
        <v>46255.705849421298</v>
      </c>
      <c r="O27" s="5">
        <f t="shared" si="0"/>
        <v>1</v>
      </c>
      <c r="P27" s="5">
        <f t="shared" si="1"/>
        <v>0</v>
      </c>
      <c r="Q27" s="5">
        <f t="shared" si="2"/>
        <v>2</v>
      </c>
      <c r="R27" s="5">
        <f t="shared" si="3"/>
        <v>0</v>
      </c>
      <c r="S27" s="5">
        <f t="shared" si="4"/>
        <v>0</v>
      </c>
      <c r="T27" s="5">
        <f t="shared" si="5"/>
        <v>1</v>
      </c>
      <c r="U27"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8" spans="1:21" ht="54" customHeight="1">
      <c r="A28" s="2" t="s">
        <v>137</v>
      </c>
      <c r="B28" s="2" t="s">
        <v>341</v>
      </c>
      <c r="C28" s="2" t="s">
        <v>16</v>
      </c>
      <c r="D28" s="2" t="s">
        <v>50</v>
      </c>
      <c r="E28" s="2" t="s">
        <v>32</v>
      </c>
      <c r="F28" s="2" t="s">
        <v>19</v>
      </c>
      <c r="G28" s="2" t="s">
        <v>21</v>
      </c>
      <c r="H28" s="2" t="s">
        <v>104</v>
      </c>
      <c r="I28" s="2">
        <v>53</v>
      </c>
      <c r="J28" s="3" t="b">
        <v>1</v>
      </c>
      <c r="K28" s="4">
        <v>46255.644227939818</v>
      </c>
      <c r="L28" s="4">
        <v>46255.727561273146</v>
      </c>
      <c r="M28" s="4">
        <v>46255.727550578704</v>
      </c>
      <c r="N28" s="4">
        <v>46255.727564814813</v>
      </c>
      <c r="O28" s="5">
        <f t="shared" si="0"/>
        <v>1</v>
      </c>
      <c r="P28" s="5">
        <f t="shared" si="1"/>
        <v>0</v>
      </c>
      <c r="Q28" s="5">
        <f t="shared" si="2"/>
        <v>2</v>
      </c>
      <c r="R28" s="5">
        <f t="shared" si="3"/>
        <v>0</v>
      </c>
      <c r="S28" s="5">
        <f t="shared" si="4"/>
        <v>0</v>
      </c>
      <c r="T28" s="5">
        <f t="shared" si="5"/>
        <v>1</v>
      </c>
      <c r="U28"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29" spans="1:21" ht="54" customHeight="1">
      <c r="A29" s="2" t="s">
        <v>141</v>
      </c>
      <c r="B29" s="2" t="s">
        <v>341</v>
      </c>
      <c r="C29" s="2" t="s">
        <v>63</v>
      </c>
      <c r="D29" s="2" t="s">
        <v>17</v>
      </c>
      <c r="E29" s="2" t="s">
        <v>18</v>
      </c>
      <c r="F29" s="2" t="s">
        <v>19</v>
      </c>
      <c r="G29" s="2" t="s">
        <v>65</v>
      </c>
      <c r="H29" s="2" t="s">
        <v>64</v>
      </c>
      <c r="I29" s="2">
        <v>125</v>
      </c>
      <c r="J29" s="3" t="b">
        <v>1</v>
      </c>
      <c r="K29" s="4">
        <v>46255.405718784721</v>
      </c>
      <c r="L29" s="4">
        <v>46255.489052118057</v>
      </c>
      <c r="M29" s="4">
        <v>46255.489044907408</v>
      </c>
      <c r="N29" s="4">
        <v>46255.489053124998</v>
      </c>
      <c r="O29" s="5">
        <f t="shared" si="0"/>
        <v>1</v>
      </c>
      <c r="P29" s="5">
        <f t="shared" si="1"/>
        <v>0</v>
      </c>
      <c r="Q29" s="5">
        <f t="shared" si="2"/>
        <v>2</v>
      </c>
      <c r="R29" s="5">
        <f t="shared" si="3"/>
        <v>0</v>
      </c>
      <c r="S29" s="5">
        <f t="shared" si="4"/>
        <v>0</v>
      </c>
      <c r="T29" s="5">
        <f t="shared" si="5"/>
        <v>1</v>
      </c>
      <c r="U29"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0" spans="1:21" ht="54" customHeight="1">
      <c r="A30" s="2" t="s">
        <v>145</v>
      </c>
      <c r="B30" s="2" t="s">
        <v>341</v>
      </c>
      <c r="C30" s="2" t="s">
        <v>63</v>
      </c>
      <c r="D30" s="2" t="s">
        <v>17</v>
      </c>
      <c r="E30" s="2" t="s">
        <v>27</v>
      </c>
      <c r="F30" s="2" t="s">
        <v>19</v>
      </c>
      <c r="G30" s="2" t="s">
        <v>65</v>
      </c>
      <c r="H30" s="2" t="s">
        <v>64</v>
      </c>
      <c r="I30" s="2">
        <v>125</v>
      </c>
      <c r="J30" s="3" t="b">
        <v>1</v>
      </c>
      <c r="K30" s="4">
        <v>46255.410268344909</v>
      </c>
      <c r="L30" s="4">
        <v>46255.493601678238</v>
      </c>
      <c r="M30" s="4">
        <v>46255.493595601853</v>
      </c>
      <c r="N30" s="4">
        <v>46255.493603009258</v>
      </c>
      <c r="O30" s="5">
        <f t="shared" si="0"/>
        <v>1</v>
      </c>
      <c r="P30" s="5">
        <f t="shared" si="1"/>
        <v>0</v>
      </c>
      <c r="Q30" s="5">
        <f t="shared" si="2"/>
        <v>2</v>
      </c>
      <c r="R30" s="5">
        <f t="shared" si="3"/>
        <v>0</v>
      </c>
      <c r="S30" s="5">
        <f t="shared" si="4"/>
        <v>0</v>
      </c>
      <c r="T30" s="5">
        <f t="shared" si="5"/>
        <v>1</v>
      </c>
      <c r="U30"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1" spans="1:21" ht="54" customHeight="1">
      <c r="A31" s="2" t="s">
        <v>149</v>
      </c>
      <c r="B31" s="2" t="s">
        <v>341</v>
      </c>
      <c r="C31" s="2" t="s">
        <v>63</v>
      </c>
      <c r="D31" s="2" t="s">
        <v>17</v>
      </c>
      <c r="E31" s="2" t="s">
        <v>32</v>
      </c>
      <c r="F31" s="2" t="s">
        <v>19</v>
      </c>
      <c r="G31" s="2" t="s">
        <v>65</v>
      </c>
      <c r="H31" s="2" t="s">
        <v>64</v>
      </c>
      <c r="I31" s="2">
        <v>125</v>
      </c>
      <c r="J31" s="3" t="b">
        <v>1</v>
      </c>
      <c r="K31" s="4">
        <v>46255.413825821757</v>
      </c>
      <c r="L31" s="4">
        <v>46255.497159155093</v>
      </c>
      <c r="M31" s="4">
        <v>46255.497152199074</v>
      </c>
      <c r="N31" s="4">
        <v>46255.497160069448</v>
      </c>
      <c r="O31" s="5">
        <f t="shared" si="0"/>
        <v>1</v>
      </c>
      <c r="P31" s="5">
        <f t="shared" si="1"/>
        <v>0</v>
      </c>
      <c r="Q31" s="5">
        <f t="shared" si="2"/>
        <v>2</v>
      </c>
      <c r="R31" s="5">
        <f t="shared" si="3"/>
        <v>0</v>
      </c>
      <c r="S31" s="5">
        <f t="shared" si="4"/>
        <v>0</v>
      </c>
      <c r="T31" s="5">
        <f t="shared" si="5"/>
        <v>1</v>
      </c>
      <c r="U31"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2" spans="1:21" ht="54" customHeight="1">
      <c r="A32" s="2" t="s">
        <v>153</v>
      </c>
      <c r="B32" s="2" t="s">
        <v>341</v>
      </c>
      <c r="C32" s="2" t="s">
        <v>63</v>
      </c>
      <c r="D32" s="2" t="s">
        <v>37</v>
      </c>
      <c r="E32" s="2" t="s">
        <v>18</v>
      </c>
      <c r="F32" s="2" t="s">
        <v>19</v>
      </c>
      <c r="G32" s="2" t="s">
        <v>65</v>
      </c>
      <c r="H32" s="2" t="s">
        <v>64</v>
      </c>
      <c r="I32" s="2">
        <v>125</v>
      </c>
      <c r="J32" s="3" t="b">
        <v>1</v>
      </c>
      <c r="K32" s="4">
        <v>46255.495014479166</v>
      </c>
      <c r="L32" s="4">
        <v>46255.578347812501</v>
      </c>
      <c r="M32" s="4">
        <v>46255.57833877315</v>
      </c>
      <c r="N32" s="4">
        <v>46255.578348726849</v>
      </c>
      <c r="O32" s="5">
        <f t="shared" si="0"/>
        <v>1</v>
      </c>
      <c r="P32" s="5">
        <f t="shared" si="1"/>
        <v>0</v>
      </c>
      <c r="Q32" s="5">
        <f t="shared" si="2"/>
        <v>2</v>
      </c>
      <c r="R32" s="5">
        <f t="shared" si="3"/>
        <v>0</v>
      </c>
      <c r="S32" s="5">
        <f t="shared" si="4"/>
        <v>0</v>
      </c>
      <c r="T32" s="5">
        <f t="shared" si="5"/>
        <v>1</v>
      </c>
      <c r="U32"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3" spans="1:21" ht="54" customHeight="1">
      <c r="A33" s="2" t="s">
        <v>157</v>
      </c>
      <c r="B33" s="2" t="s">
        <v>341</v>
      </c>
      <c r="C33" s="2" t="s">
        <v>63</v>
      </c>
      <c r="D33" s="2" t="s">
        <v>37</v>
      </c>
      <c r="E33" s="2" t="s">
        <v>27</v>
      </c>
      <c r="F33" s="2" t="s">
        <v>19</v>
      </c>
      <c r="G33" s="2" t="s">
        <v>65</v>
      </c>
      <c r="H33" s="2" t="s">
        <v>64</v>
      </c>
      <c r="I33" s="2">
        <v>125</v>
      </c>
      <c r="J33" s="3" t="b">
        <v>1</v>
      </c>
      <c r="K33" s="4">
        <v>46255.499450960648</v>
      </c>
      <c r="L33" s="4">
        <v>46255.582784293983</v>
      </c>
      <c r="M33" s="4">
        <v>46255.582774305556</v>
      </c>
      <c r="N33" s="4">
        <v>46255.582785648148</v>
      </c>
      <c r="O33" s="5">
        <f t="shared" si="0"/>
        <v>1</v>
      </c>
      <c r="P33" s="5">
        <f t="shared" si="1"/>
        <v>0</v>
      </c>
      <c r="Q33" s="5">
        <f t="shared" si="2"/>
        <v>2</v>
      </c>
      <c r="R33" s="5">
        <f t="shared" si="3"/>
        <v>0</v>
      </c>
      <c r="S33" s="5">
        <f t="shared" si="4"/>
        <v>0</v>
      </c>
      <c r="T33" s="5">
        <f t="shared" si="5"/>
        <v>1</v>
      </c>
      <c r="U33" s="2" t="str">
        <f t="shared" si="6"/>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4" spans="1:21" ht="54" customHeight="1">
      <c r="A34" s="2" t="s">
        <v>161</v>
      </c>
      <c r="B34" s="2" t="s">
        <v>341</v>
      </c>
      <c r="C34" s="2" t="s">
        <v>63</v>
      </c>
      <c r="D34" s="2" t="s">
        <v>37</v>
      </c>
      <c r="E34" s="2" t="s">
        <v>32</v>
      </c>
      <c r="F34" s="2" t="s">
        <v>19</v>
      </c>
      <c r="G34" s="2" t="s">
        <v>65</v>
      </c>
      <c r="H34" s="2" t="s">
        <v>64</v>
      </c>
      <c r="I34" s="2">
        <v>125</v>
      </c>
      <c r="J34" s="3" t="b">
        <v>1</v>
      </c>
      <c r="K34" s="4">
        <v>46255.502704375001</v>
      </c>
      <c r="L34" s="4">
        <v>46255.58603770833</v>
      </c>
      <c r="M34" s="4">
        <v>46255.58602800926</v>
      </c>
      <c r="N34" s="4">
        <v>46255.58603888889</v>
      </c>
      <c r="O34" s="5">
        <f t="shared" ref="O34:O65" si="7">IF(AND(F34="MFT-Eintrag vorhanden",G34=IF(C34="A1",".\Lab\Outputs\A1",".\Lab\Outputs\A2"),L34&gt;=M34,L34&lt;=N34),1,0)</f>
        <v>1</v>
      </c>
      <c r="P34" s="5">
        <f t="shared" ref="P34:P65" si="8">IF(O34=1,0,"-")</f>
        <v>0</v>
      </c>
      <c r="Q34" s="5">
        <f t="shared" ref="Q34:Q65" si="9">IF(O34=1,2,"-")</f>
        <v>2</v>
      </c>
      <c r="R34" s="5">
        <f t="shared" ref="R34:R65" si="10">IF(O34=1,0,"-")</f>
        <v>0</v>
      </c>
      <c r="S34" s="5">
        <f t="shared" ref="S34:S65" si="11">IF(O34=1,0,"-")</f>
        <v>0</v>
      </c>
      <c r="T34" s="5">
        <f t="shared" ref="T34:T65" si="12">IF(O34=1,1,"-")</f>
        <v>1</v>
      </c>
      <c r="U34" s="2" t="str">
        <f t="shared" ref="U34:U65" si="13">IF(O34=0,"Kein run-spezifischer MFT-Nachweis.",_xlfn._LONGTEXT("Run-spezifischer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f>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5" spans="1:21" ht="54" customHeight="1">
      <c r="A35" s="2" t="s">
        <v>165</v>
      </c>
      <c r="B35" s="2" t="s">
        <v>341</v>
      </c>
      <c r="C35" s="2" t="s">
        <v>63</v>
      </c>
      <c r="D35" s="2" t="s">
        <v>50</v>
      </c>
      <c r="E35" s="2" t="s">
        <v>18</v>
      </c>
      <c r="F35" s="2" t="s">
        <v>19</v>
      </c>
      <c r="G35" s="2" t="s">
        <v>65</v>
      </c>
      <c r="H35" s="2" t="s">
        <v>64</v>
      </c>
      <c r="I35" s="2">
        <v>125</v>
      </c>
      <c r="J35" s="3" t="b">
        <v>1</v>
      </c>
      <c r="K35" s="4">
        <v>46243.472511631946</v>
      </c>
      <c r="L35" s="4">
        <v>46243.555844965274</v>
      </c>
      <c r="M35" s="4">
        <v>46243.555827083335</v>
      </c>
      <c r="N35" s="4">
        <v>46243.555848379627</v>
      </c>
      <c r="O35" s="5">
        <f t="shared" si="7"/>
        <v>1</v>
      </c>
      <c r="P35" s="5">
        <f t="shared" si="8"/>
        <v>0</v>
      </c>
      <c r="Q35" s="5">
        <f t="shared" si="9"/>
        <v>2</v>
      </c>
      <c r="R35" s="5">
        <f t="shared" si="10"/>
        <v>0</v>
      </c>
      <c r="S35" s="5">
        <f t="shared" si="11"/>
        <v>0</v>
      </c>
      <c r="T35" s="5">
        <f t="shared" si="12"/>
        <v>1</v>
      </c>
      <c r="U35"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6" spans="1:21" ht="54" customHeight="1">
      <c r="A36" s="2" t="s">
        <v>169</v>
      </c>
      <c r="B36" s="2" t="s">
        <v>341</v>
      </c>
      <c r="C36" s="2" t="s">
        <v>63</v>
      </c>
      <c r="D36" s="2" t="s">
        <v>50</v>
      </c>
      <c r="E36" s="2" t="s">
        <v>27</v>
      </c>
      <c r="F36" s="2" t="s">
        <v>19</v>
      </c>
      <c r="G36" s="2" t="s">
        <v>65</v>
      </c>
      <c r="H36" s="2" t="s">
        <v>64</v>
      </c>
      <c r="I36" s="2">
        <v>125</v>
      </c>
      <c r="J36" s="3" t="b">
        <v>1</v>
      </c>
      <c r="K36" s="4">
        <v>46255.654893344908</v>
      </c>
      <c r="L36" s="4">
        <v>46255.738226678244</v>
      </c>
      <c r="M36" s="4">
        <v>46255.738213657409</v>
      </c>
      <c r="N36" s="4">
        <v>46255.738228472219</v>
      </c>
      <c r="O36" s="5">
        <f t="shared" si="7"/>
        <v>1</v>
      </c>
      <c r="P36" s="5">
        <f t="shared" si="8"/>
        <v>0</v>
      </c>
      <c r="Q36" s="5">
        <f t="shared" si="9"/>
        <v>2</v>
      </c>
      <c r="R36" s="5">
        <f t="shared" si="10"/>
        <v>0</v>
      </c>
      <c r="S36" s="5">
        <f t="shared" si="11"/>
        <v>0</v>
      </c>
      <c r="T36" s="5">
        <f t="shared" si="12"/>
        <v>1</v>
      </c>
      <c r="U36"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7" spans="1:21" ht="54" customHeight="1">
      <c r="A37" s="2" t="s">
        <v>173</v>
      </c>
      <c r="B37" s="2" t="s">
        <v>341</v>
      </c>
      <c r="C37" s="2" t="s">
        <v>63</v>
      </c>
      <c r="D37" s="2" t="s">
        <v>50</v>
      </c>
      <c r="E37" s="2" t="s">
        <v>32</v>
      </c>
      <c r="F37" s="2" t="s">
        <v>19</v>
      </c>
      <c r="G37" s="2" t="s">
        <v>65</v>
      </c>
      <c r="H37" s="2" t="s">
        <v>64</v>
      </c>
      <c r="I37" s="2">
        <v>125</v>
      </c>
      <c r="J37" s="3" t="b">
        <v>1</v>
      </c>
      <c r="K37" s="4">
        <v>46255.660794467592</v>
      </c>
      <c r="L37" s="4">
        <v>46255.744127800928</v>
      </c>
      <c r="M37" s="4">
        <v>46255.744115277776</v>
      </c>
      <c r="N37" s="4">
        <v>46255.744129166669</v>
      </c>
      <c r="O37" s="5">
        <f t="shared" si="7"/>
        <v>1</v>
      </c>
      <c r="P37" s="5">
        <f t="shared" si="8"/>
        <v>0</v>
      </c>
      <c r="Q37" s="5">
        <f t="shared" si="9"/>
        <v>2</v>
      </c>
      <c r="R37" s="5">
        <f t="shared" si="10"/>
        <v>0</v>
      </c>
      <c r="S37" s="5">
        <f t="shared" si="11"/>
        <v>0</v>
      </c>
      <c r="T37" s="5">
        <f t="shared" si="12"/>
        <v>1</v>
      </c>
      <c r="U37"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8" spans="1:21" ht="54" customHeight="1">
      <c r="A38" s="2" t="s">
        <v>252</v>
      </c>
      <c r="B38" s="2" t="s">
        <v>342</v>
      </c>
      <c r="C38" s="2" t="s">
        <v>16</v>
      </c>
      <c r="D38" s="2" t="s">
        <v>17</v>
      </c>
      <c r="E38" s="2" t="s">
        <v>18</v>
      </c>
      <c r="F38" s="2" t="s">
        <v>19</v>
      </c>
      <c r="G38" s="2" t="s">
        <v>21</v>
      </c>
      <c r="H38" s="2" t="s">
        <v>254</v>
      </c>
      <c r="I38" s="2">
        <v>56</v>
      </c>
      <c r="J38" s="3" t="b">
        <v>1</v>
      </c>
      <c r="K38" s="4">
        <v>46255.41818601852</v>
      </c>
      <c r="L38" s="4">
        <v>46255.501519351848</v>
      </c>
      <c r="M38" s="4">
        <v>46255.501518287034</v>
      </c>
      <c r="N38" s="4">
        <v>46255.501519444442</v>
      </c>
      <c r="O38" s="5">
        <f t="shared" si="7"/>
        <v>1</v>
      </c>
      <c r="P38" s="5">
        <f t="shared" si="8"/>
        <v>0</v>
      </c>
      <c r="Q38" s="5">
        <f t="shared" si="9"/>
        <v>2</v>
      </c>
      <c r="R38" s="5">
        <f t="shared" si="10"/>
        <v>0</v>
      </c>
      <c r="S38" s="5">
        <f t="shared" si="11"/>
        <v>0</v>
      </c>
      <c r="T38" s="5">
        <f t="shared" si="12"/>
        <v>1</v>
      </c>
      <c r="U38"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39" spans="1:21" ht="54" customHeight="1">
      <c r="A39" s="2" t="s">
        <v>259</v>
      </c>
      <c r="B39" s="2" t="s">
        <v>342</v>
      </c>
      <c r="C39" s="2" t="s">
        <v>16</v>
      </c>
      <c r="D39" s="2" t="s">
        <v>17</v>
      </c>
      <c r="E39" s="2" t="s">
        <v>27</v>
      </c>
      <c r="F39" s="2" t="s">
        <v>19</v>
      </c>
      <c r="G39" s="2" t="s">
        <v>21</v>
      </c>
      <c r="H39" s="2" t="s">
        <v>254</v>
      </c>
      <c r="I39" s="2">
        <v>56</v>
      </c>
      <c r="J39" s="3" t="b">
        <v>1</v>
      </c>
      <c r="K39" s="4">
        <v>46255.421654050922</v>
      </c>
      <c r="L39" s="4">
        <v>46255.504987384258</v>
      </c>
      <c r="M39" s="4">
        <v>46255.504985995372</v>
      </c>
      <c r="N39" s="4">
        <v>46255.504987731481</v>
      </c>
      <c r="O39" s="5">
        <f t="shared" si="7"/>
        <v>1</v>
      </c>
      <c r="P39" s="5">
        <f t="shared" si="8"/>
        <v>0</v>
      </c>
      <c r="Q39" s="5">
        <f t="shared" si="9"/>
        <v>2</v>
      </c>
      <c r="R39" s="5">
        <f t="shared" si="10"/>
        <v>0</v>
      </c>
      <c r="S39" s="5">
        <f t="shared" si="11"/>
        <v>0</v>
      </c>
      <c r="T39" s="5">
        <f t="shared" si="12"/>
        <v>1</v>
      </c>
      <c r="U39"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0" spans="1:21" ht="54" customHeight="1">
      <c r="A40" s="2" t="s">
        <v>263</v>
      </c>
      <c r="B40" s="2" t="s">
        <v>342</v>
      </c>
      <c r="C40" s="2" t="s">
        <v>16</v>
      </c>
      <c r="D40" s="2" t="s">
        <v>17</v>
      </c>
      <c r="E40" s="2" t="s">
        <v>32</v>
      </c>
      <c r="F40" s="2" t="s">
        <v>19</v>
      </c>
      <c r="G40" s="2" t="s">
        <v>21</v>
      </c>
      <c r="H40" s="2" t="s">
        <v>254</v>
      </c>
      <c r="I40" s="2">
        <v>56</v>
      </c>
      <c r="J40" s="3" t="b">
        <v>1</v>
      </c>
      <c r="K40" s="4">
        <v>46255.424695590278</v>
      </c>
      <c r="L40" s="4">
        <v>46255.508028923614</v>
      </c>
      <c r="M40" s="4">
        <v>46255.508027430558</v>
      </c>
      <c r="N40" s="4">
        <v>46255.508029050929</v>
      </c>
      <c r="O40" s="5">
        <f t="shared" si="7"/>
        <v>1</v>
      </c>
      <c r="P40" s="5">
        <f t="shared" si="8"/>
        <v>0</v>
      </c>
      <c r="Q40" s="5">
        <f t="shared" si="9"/>
        <v>2</v>
      </c>
      <c r="R40" s="5">
        <f t="shared" si="10"/>
        <v>0</v>
      </c>
      <c r="S40" s="5">
        <f t="shared" si="11"/>
        <v>0</v>
      </c>
      <c r="T40" s="5">
        <f t="shared" si="12"/>
        <v>1</v>
      </c>
      <c r="U40"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1" spans="1:21" ht="54" customHeight="1">
      <c r="A41" s="2" t="s">
        <v>267</v>
      </c>
      <c r="B41" s="2" t="s">
        <v>342</v>
      </c>
      <c r="C41" s="2" t="s">
        <v>16</v>
      </c>
      <c r="D41" s="2" t="s">
        <v>37</v>
      </c>
      <c r="E41" s="2" t="s">
        <v>18</v>
      </c>
      <c r="F41" s="2" t="s">
        <v>19</v>
      </c>
      <c r="G41" s="2" t="s">
        <v>21</v>
      </c>
      <c r="H41" s="2" t="s">
        <v>254</v>
      </c>
      <c r="I41" s="2">
        <v>56</v>
      </c>
      <c r="J41" s="3" t="b">
        <v>1</v>
      </c>
      <c r="K41" s="4">
        <v>46255.507281828701</v>
      </c>
      <c r="L41" s="4">
        <v>46255.590615162037</v>
      </c>
      <c r="M41" s="4">
        <v>46255.590613425928</v>
      </c>
      <c r="N41" s="4">
        <v>46255.590615277775</v>
      </c>
      <c r="O41" s="5">
        <f t="shared" si="7"/>
        <v>1</v>
      </c>
      <c r="P41" s="5">
        <f t="shared" si="8"/>
        <v>0</v>
      </c>
      <c r="Q41" s="5">
        <f t="shared" si="9"/>
        <v>2</v>
      </c>
      <c r="R41" s="5">
        <f t="shared" si="10"/>
        <v>0</v>
      </c>
      <c r="S41" s="5">
        <f t="shared" si="11"/>
        <v>0</v>
      </c>
      <c r="T41" s="5">
        <f t="shared" si="12"/>
        <v>1</v>
      </c>
      <c r="U41"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2" spans="1:21" ht="54" customHeight="1">
      <c r="A42" s="2" t="s">
        <v>271</v>
      </c>
      <c r="B42" s="2" t="s">
        <v>342</v>
      </c>
      <c r="C42" s="2" t="s">
        <v>16</v>
      </c>
      <c r="D42" s="2" t="s">
        <v>37</v>
      </c>
      <c r="E42" s="2" t="s">
        <v>27</v>
      </c>
      <c r="F42" s="2" t="s">
        <v>19</v>
      </c>
      <c r="G42" s="2" t="s">
        <v>21</v>
      </c>
      <c r="H42" s="2" t="s">
        <v>254</v>
      </c>
      <c r="I42" s="2">
        <v>56</v>
      </c>
      <c r="J42" s="3" t="b">
        <v>1</v>
      </c>
      <c r="K42" s="4">
        <v>46255.511457939814</v>
      </c>
      <c r="L42" s="4">
        <v>46255.59479127315</v>
      </c>
      <c r="M42" s="4">
        <v>46255.594789583331</v>
      </c>
      <c r="N42" s="4">
        <v>46255.594791435185</v>
      </c>
      <c r="O42" s="5">
        <f t="shared" si="7"/>
        <v>1</v>
      </c>
      <c r="P42" s="5">
        <f t="shared" si="8"/>
        <v>0</v>
      </c>
      <c r="Q42" s="5">
        <f t="shared" si="9"/>
        <v>2</v>
      </c>
      <c r="R42" s="5">
        <f t="shared" si="10"/>
        <v>0</v>
      </c>
      <c r="S42" s="5">
        <f t="shared" si="11"/>
        <v>0</v>
      </c>
      <c r="T42" s="5">
        <f t="shared" si="12"/>
        <v>1</v>
      </c>
      <c r="U42"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3" spans="1:21" ht="54" customHeight="1">
      <c r="A43" s="2" t="s">
        <v>275</v>
      </c>
      <c r="B43" s="2" t="s">
        <v>342</v>
      </c>
      <c r="C43" s="2" t="s">
        <v>16</v>
      </c>
      <c r="D43" s="2" t="s">
        <v>37</v>
      </c>
      <c r="E43" s="2" t="s">
        <v>32</v>
      </c>
      <c r="F43" s="2" t="s">
        <v>19</v>
      </c>
      <c r="G43" s="2" t="s">
        <v>21</v>
      </c>
      <c r="H43" s="2" t="s">
        <v>254</v>
      </c>
      <c r="I43" s="2">
        <v>56</v>
      </c>
      <c r="J43" s="3" t="b">
        <v>1</v>
      </c>
      <c r="K43" s="4">
        <v>46255.5144334375</v>
      </c>
      <c r="L43" s="4">
        <v>46255.597766770836</v>
      </c>
      <c r="M43" s="4">
        <v>46255.597765162034</v>
      </c>
      <c r="N43" s="4">
        <v>46255.59776689815</v>
      </c>
      <c r="O43" s="5">
        <f t="shared" si="7"/>
        <v>1</v>
      </c>
      <c r="P43" s="5">
        <f t="shared" si="8"/>
        <v>0</v>
      </c>
      <c r="Q43" s="5">
        <f t="shared" si="9"/>
        <v>2</v>
      </c>
      <c r="R43" s="5">
        <f t="shared" si="10"/>
        <v>0</v>
      </c>
      <c r="S43" s="5">
        <f t="shared" si="11"/>
        <v>0</v>
      </c>
      <c r="T43" s="5">
        <f t="shared" si="12"/>
        <v>1</v>
      </c>
      <c r="U43"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4" spans="1:21" ht="54" customHeight="1">
      <c r="A44" s="2" t="s">
        <v>279</v>
      </c>
      <c r="B44" s="2" t="s">
        <v>342</v>
      </c>
      <c r="C44" s="2" t="s">
        <v>16</v>
      </c>
      <c r="D44" s="2" t="s">
        <v>50</v>
      </c>
      <c r="E44" s="2" t="s">
        <v>18</v>
      </c>
      <c r="F44" s="2" t="s">
        <v>19</v>
      </c>
      <c r="G44" s="2" t="s">
        <v>21</v>
      </c>
      <c r="H44" s="2" t="s">
        <v>254</v>
      </c>
      <c r="I44" s="2">
        <v>56</v>
      </c>
      <c r="J44" s="3" t="b">
        <v>1</v>
      </c>
      <c r="K44" s="4">
        <v>46255.666564629631</v>
      </c>
      <c r="L44" s="4">
        <v>46255.74989796296</v>
      </c>
      <c r="M44" s="4">
        <v>46255.749895717592</v>
      </c>
      <c r="N44" s="4">
        <v>46255.74989861111</v>
      </c>
      <c r="O44" s="5">
        <f t="shared" si="7"/>
        <v>1</v>
      </c>
      <c r="P44" s="5">
        <f t="shared" si="8"/>
        <v>0</v>
      </c>
      <c r="Q44" s="5">
        <f t="shared" si="9"/>
        <v>2</v>
      </c>
      <c r="R44" s="5">
        <f t="shared" si="10"/>
        <v>0</v>
      </c>
      <c r="S44" s="5">
        <f t="shared" si="11"/>
        <v>0</v>
      </c>
      <c r="T44" s="5">
        <f t="shared" si="12"/>
        <v>1</v>
      </c>
      <c r="U44"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5" spans="1:21" ht="54" customHeight="1">
      <c r="A45" s="2" t="s">
        <v>283</v>
      </c>
      <c r="B45" s="2" t="s">
        <v>342</v>
      </c>
      <c r="C45" s="2" t="s">
        <v>16</v>
      </c>
      <c r="D45" s="2" t="s">
        <v>50</v>
      </c>
      <c r="E45" s="2" t="s">
        <v>27</v>
      </c>
      <c r="F45" s="2" t="s">
        <v>19</v>
      </c>
      <c r="G45" s="2" t="s">
        <v>21</v>
      </c>
      <c r="H45" s="2" t="s">
        <v>254</v>
      </c>
      <c r="I45" s="2">
        <v>56</v>
      </c>
      <c r="J45" s="3" t="b">
        <v>1</v>
      </c>
      <c r="K45" s="4">
        <v>46255.671469849534</v>
      </c>
      <c r="L45" s="4">
        <v>46255.75480318287</v>
      </c>
      <c r="M45" s="4">
        <v>46255.754800462964</v>
      </c>
      <c r="N45" s="4">
        <v>46255.754805324075</v>
      </c>
      <c r="O45" s="5">
        <f t="shared" si="7"/>
        <v>1</v>
      </c>
      <c r="P45" s="5">
        <f t="shared" si="8"/>
        <v>0</v>
      </c>
      <c r="Q45" s="5">
        <f t="shared" si="9"/>
        <v>2</v>
      </c>
      <c r="R45" s="5">
        <f t="shared" si="10"/>
        <v>0</v>
      </c>
      <c r="S45" s="5">
        <f t="shared" si="11"/>
        <v>0</v>
      </c>
      <c r="T45" s="5">
        <f t="shared" si="12"/>
        <v>1</v>
      </c>
      <c r="U45"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6" spans="1:21" ht="54" customHeight="1">
      <c r="A46" s="2" t="s">
        <v>287</v>
      </c>
      <c r="B46" s="2" t="s">
        <v>342</v>
      </c>
      <c r="C46" s="2" t="s">
        <v>16</v>
      </c>
      <c r="D46" s="2" t="s">
        <v>50</v>
      </c>
      <c r="E46" s="2" t="s">
        <v>32</v>
      </c>
      <c r="F46" s="2" t="s">
        <v>19</v>
      </c>
      <c r="G46" s="2" t="s">
        <v>21</v>
      </c>
      <c r="H46" s="2" t="s">
        <v>254</v>
      </c>
      <c r="I46" s="2">
        <v>56</v>
      </c>
      <c r="J46" s="3" t="b">
        <v>1</v>
      </c>
      <c r="K46" s="4">
        <v>46255.675985277776</v>
      </c>
      <c r="L46" s="4">
        <v>46255.759318611112</v>
      </c>
      <c r="M46" s="4">
        <v>46255.759315856485</v>
      </c>
      <c r="N46" s="4">
        <v>46255.759319560188</v>
      </c>
      <c r="O46" s="5">
        <f t="shared" si="7"/>
        <v>1</v>
      </c>
      <c r="P46" s="5">
        <f t="shared" si="8"/>
        <v>0</v>
      </c>
      <c r="Q46" s="5">
        <f t="shared" si="9"/>
        <v>2</v>
      </c>
      <c r="R46" s="5">
        <f t="shared" si="10"/>
        <v>0</v>
      </c>
      <c r="S46" s="5">
        <f t="shared" si="11"/>
        <v>0</v>
      </c>
      <c r="T46" s="5">
        <f t="shared" si="12"/>
        <v>1</v>
      </c>
      <c r="U46"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7" spans="1:21" ht="54" customHeight="1">
      <c r="A47" s="2" t="s">
        <v>291</v>
      </c>
      <c r="B47" s="2" t="s">
        <v>342</v>
      </c>
      <c r="C47" s="2" t="s">
        <v>63</v>
      </c>
      <c r="D47" s="2" t="s">
        <v>17</v>
      </c>
      <c r="E47" s="2" t="s">
        <v>18</v>
      </c>
      <c r="F47" s="2" t="s">
        <v>19</v>
      </c>
      <c r="G47" s="2" t="s">
        <v>65</v>
      </c>
      <c r="H47" s="2" t="s">
        <v>64</v>
      </c>
      <c r="I47" s="2">
        <v>125</v>
      </c>
      <c r="J47" s="3" t="b">
        <v>1</v>
      </c>
      <c r="K47" s="4">
        <v>46255.428405833336</v>
      </c>
      <c r="L47" s="4">
        <v>46255.511739166664</v>
      </c>
      <c r="M47" s="4">
        <v>46255.511734490741</v>
      </c>
      <c r="N47" s="4">
        <v>46255.511739236113</v>
      </c>
      <c r="O47" s="5">
        <f t="shared" si="7"/>
        <v>1</v>
      </c>
      <c r="P47" s="5">
        <f t="shared" si="8"/>
        <v>0</v>
      </c>
      <c r="Q47" s="5">
        <f t="shared" si="9"/>
        <v>2</v>
      </c>
      <c r="R47" s="5">
        <f t="shared" si="10"/>
        <v>0</v>
      </c>
      <c r="S47" s="5">
        <f t="shared" si="11"/>
        <v>0</v>
      </c>
      <c r="T47" s="5">
        <f t="shared" si="12"/>
        <v>1</v>
      </c>
      <c r="U47"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8" spans="1:21" ht="54" customHeight="1">
      <c r="A48" s="2" t="s">
        <v>295</v>
      </c>
      <c r="B48" s="2" t="s">
        <v>342</v>
      </c>
      <c r="C48" s="2" t="s">
        <v>63</v>
      </c>
      <c r="D48" s="2" t="s">
        <v>17</v>
      </c>
      <c r="E48" s="2" t="s">
        <v>27</v>
      </c>
      <c r="F48" s="2" t="s">
        <v>19</v>
      </c>
      <c r="G48" s="2" t="s">
        <v>65</v>
      </c>
      <c r="H48" s="2" t="s">
        <v>64</v>
      </c>
      <c r="I48" s="2">
        <v>125</v>
      </c>
      <c r="J48" s="3" t="b">
        <v>1</v>
      </c>
      <c r="K48" s="4">
        <v>46255.43205265046</v>
      </c>
      <c r="L48" s="4">
        <v>46255.515385983796</v>
      </c>
      <c r="M48" s="4">
        <v>46255.515381249999</v>
      </c>
      <c r="N48" s="4">
        <v>46255.51538611111</v>
      </c>
      <c r="O48" s="5">
        <f t="shared" si="7"/>
        <v>1</v>
      </c>
      <c r="P48" s="5">
        <f t="shared" si="8"/>
        <v>0</v>
      </c>
      <c r="Q48" s="5">
        <f t="shared" si="9"/>
        <v>2</v>
      </c>
      <c r="R48" s="5">
        <f t="shared" si="10"/>
        <v>0</v>
      </c>
      <c r="S48" s="5">
        <f t="shared" si="11"/>
        <v>0</v>
      </c>
      <c r="T48" s="5">
        <f t="shared" si="12"/>
        <v>1</v>
      </c>
      <c r="U48"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49" spans="1:21" ht="54" customHeight="1">
      <c r="A49" s="2" t="s">
        <v>299</v>
      </c>
      <c r="B49" s="2" t="s">
        <v>342</v>
      </c>
      <c r="C49" s="2" t="s">
        <v>63</v>
      </c>
      <c r="D49" s="2" t="s">
        <v>17</v>
      </c>
      <c r="E49" s="2" t="s">
        <v>32</v>
      </c>
      <c r="F49" s="2" t="s">
        <v>19</v>
      </c>
      <c r="G49" s="2" t="s">
        <v>65</v>
      </c>
      <c r="H49" s="2" t="s">
        <v>64</v>
      </c>
      <c r="I49" s="2">
        <v>125</v>
      </c>
      <c r="J49" s="3" t="b">
        <v>1</v>
      </c>
      <c r="K49" s="4">
        <v>46255.434997939818</v>
      </c>
      <c r="L49" s="4">
        <v>46255.518331273146</v>
      </c>
      <c r="M49" s="4">
        <v>46255.518324999997</v>
      </c>
      <c r="N49" s="4">
        <v>46255.518331481479</v>
      </c>
      <c r="O49" s="5">
        <f t="shared" si="7"/>
        <v>1</v>
      </c>
      <c r="P49" s="5">
        <f t="shared" si="8"/>
        <v>0</v>
      </c>
      <c r="Q49" s="5">
        <f t="shared" si="9"/>
        <v>2</v>
      </c>
      <c r="R49" s="5">
        <f t="shared" si="10"/>
        <v>0</v>
      </c>
      <c r="S49" s="5">
        <f t="shared" si="11"/>
        <v>0</v>
      </c>
      <c r="T49" s="5">
        <f t="shared" si="12"/>
        <v>1</v>
      </c>
      <c r="U49"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0" spans="1:21" ht="54" customHeight="1">
      <c r="A50" s="2" t="s">
        <v>303</v>
      </c>
      <c r="B50" s="2" t="s">
        <v>342</v>
      </c>
      <c r="C50" s="2" t="s">
        <v>63</v>
      </c>
      <c r="D50" s="2" t="s">
        <v>37</v>
      </c>
      <c r="E50" s="2" t="s">
        <v>18</v>
      </c>
      <c r="F50" s="2" t="s">
        <v>19</v>
      </c>
      <c r="G50" s="2" t="s">
        <v>65</v>
      </c>
      <c r="H50" s="2" t="s">
        <v>64</v>
      </c>
      <c r="I50" s="2">
        <v>125</v>
      </c>
      <c r="J50" s="3" t="b">
        <v>1</v>
      </c>
      <c r="K50" s="4">
        <v>46255.517834108796</v>
      </c>
      <c r="L50" s="4">
        <v>46255.601167442132</v>
      </c>
      <c r="M50" s="4">
        <v>46255.60116215278</v>
      </c>
      <c r="N50" s="4">
        <v>46255.601167592591</v>
      </c>
      <c r="O50" s="5">
        <f t="shared" si="7"/>
        <v>1</v>
      </c>
      <c r="P50" s="5">
        <f t="shared" si="8"/>
        <v>0</v>
      </c>
      <c r="Q50" s="5">
        <f t="shared" si="9"/>
        <v>2</v>
      </c>
      <c r="R50" s="5">
        <f t="shared" si="10"/>
        <v>0</v>
      </c>
      <c r="S50" s="5">
        <f t="shared" si="11"/>
        <v>0</v>
      </c>
      <c r="T50" s="5">
        <f t="shared" si="12"/>
        <v>1</v>
      </c>
      <c r="U50"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1" spans="1:21" ht="54" customHeight="1">
      <c r="A51" s="2" t="s">
        <v>307</v>
      </c>
      <c r="B51" s="2" t="s">
        <v>342</v>
      </c>
      <c r="C51" s="2" t="s">
        <v>63</v>
      </c>
      <c r="D51" s="2" t="s">
        <v>37</v>
      </c>
      <c r="E51" s="2" t="s">
        <v>27</v>
      </c>
      <c r="F51" s="2" t="s">
        <v>19</v>
      </c>
      <c r="G51" s="2" t="s">
        <v>65</v>
      </c>
      <c r="H51" s="2" t="s">
        <v>64</v>
      </c>
      <c r="I51" s="2">
        <v>125</v>
      </c>
      <c r="J51" s="3" t="b">
        <v>1</v>
      </c>
      <c r="K51" s="4">
        <v>46255.52078121528</v>
      </c>
      <c r="L51" s="4">
        <v>46255.604114548609</v>
      </c>
      <c r="M51" s="4">
        <v>46255.60411064815</v>
      </c>
      <c r="N51" s="4">
        <v>46255.604114583337</v>
      </c>
      <c r="O51" s="5">
        <f t="shared" si="7"/>
        <v>1</v>
      </c>
      <c r="P51" s="5">
        <f t="shared" si="8"/>
        <v>0</v>
      </c>
      <c r="Q51" s="5">
        <f t="shared" si="9"/>
        <v>2</v>
      </c>
      <c r="R51" s="5">
        <f t="shared" si="10"/>
        <v>0</v>
      </c>
      <c r="S51" s="5">
        <f t="shared" si="11"/>
        <v>0</v>
      </c>
      <c r="T51" s="5">
        <f t="shared" si="12"/>
        <v>1</v>
      </c>
      <c r="U51"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2" spans="1:21" ht="54" customHeight="1">
      <c r="A52" s="2" t="s">
        <v>311</v>
      </c>
      <c r="B52" s="2" t="s">
        <v>342</v>
      </c>
      <c r="C52" s="2" t="s">
        <v>63</v>
      </c>
      <c r="D52" s="2" t="s">
        <v>37</v>
      </c>
      <c r="E52" s="2" t="s">
        <v>32</v>
      </c>
      <c r="F52" s="2" t="s">
        <v>19</v>
      </c>
      <c r="G52" s="2" t="s">
        <v>65</v>
      </c>
      <c r="H52" s="2" t="s">
        <v>64</v>
      </c>
      <c r="I52" s="2">
        <v>125</v>
      </c>
      <c r="J52" s="3" t="b">
        <v>1</v>
      </c>
      <c r="K52" s="4">
        <v>46255.524207372684</v>
      </c>
      <c r="L52" s="4">
        <v>46255.60754070602</v>
      </c>
      <c r="M52" s="4">
        <v>46255.607535532406</v>
      </c>
      <c r="N52" s="4">
        <v>46255.607540856479</v>
      </c>
      <c r="O52" s="5">
        <f t="shared" si="7"/>
        <v>1</v>
      </c>
      <c r="P52" s="5">
        <f t="shared" si="8"/>
        <v>0</v>
      </c>
      <c r="Q52" s="5">
        <f t="shared" si="9"/>
        <v>2</v>
      </c>
      <c r="R52" s="5">
        <f t="shared" si="10"/>
        <v>0</v>
      </c>
      <c r="S52" s="5">
        <f t="shared" si="11"/>
        <v>0</v>
      </c>
      <c r="T52" s="5">
        <f t="shared" si="12"/>
        <v>1</v>
      </c>
      <c r="U52"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3" spans="1:21" ht="54" customHeight="1">
      <c r="A53" s="2" t="s">
        <v>315</v>
      </c>
      <c r="B53" s="2" t="s">
        <v>342</v>
      </c>
      <c r="C53" s="2" t="s">
        <v>63</v>
      </c>
      <c r="D53" s="2" t="s">
        <v>50</v>
      </c>
      <c r="E53" s="2" t="s">
        <v>18</v>
      </c>
      <c r="F53" s="2" t="s">
        <v>19</v>
      </c>
      <c r="G53" s="2" t="s">
        <v>65</v>
      </c>
      <c r="H53" s="2" t="s">
        <v>64</v>
      </c>
      <c r="I53" s="2">
        <v>125</v>
      </c>
      <c r="J53" s="3" t="b">
        <v>1</v>
      </c>
      <c r="K53" s="4">
        <v>46255.682178020834</v>
      </c>
      <c r="L53" s="4">
        <v>46255.76551135417</v>
      </c>
      <c r="M53" s="4">
        <v>46255.765503472219</v>
      </c>
      <c r="N53" s="4">
        <v>46255.765511689817</v>
      </c>
      <c r="O53" s="5">
        <f t="shared" si="7"/>
        <v>1</v>
      </c>
      <c r="P53" s="5">
        <f t="shared" si="8"/>
        <v>0</v>
      </c>
      <c r="Q53" s="5">
        <f t="shared" si="9"/>
        <v>2</v>
      </c>
      <c r="R53" s="5">
        <f t="shared" si="10"/>
        <v>0</v>
      </c>
      <c r="S53" s="5">
        <f t="shared" si="11"/>
        <v>0</v>
      </c>
      <c r="T53" s="5">
        <f t="shared" si="12"/>
        <v>1</v>
      </c>
      <c r="U53"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4" spans="1:21" ht="54" customHeight="1">
      <c r="A54" s="2" t="s">
        <v>319</v>
      </c>
      <c r="B54" s="2" t="s">
        <v>342</v>
      </c>
      <c r="C54" s="2" t="s">
        <v>63</v>
      </c>
      <c r="D54" s="2" t="s">
        <v>50</v>
      </c>
      <c r="E54" s="2" t="s">
        <v>27</v>
      </c>
      <c r="F54" s="2" t="s">
        <v>19</v>
      </c>
      <c r="G54" s="2" t="s">
        <v>65</v>
      </c>
      <c r="H54" s="2" t="s">
        <v>64</v>
      </c>
      <c r="I54" s="2">
        <v>125</v>
      </c>
      <c r="J54" s="3" t="b">
        <v>1</v>
      </c>
      <c r="K54" s="4">
        <v>46255.687058379626</v>
      </c>
      <c r="L54" s="4">
        <v>46255.770391712962</v>
      </c>
      <c r="M54" s="4">
        <v>46255.770385300922</v>
      </c>
      <c r="N54" s="4">
        <v>46255.770392824073</v>
      </c>
      <c r="O54" s="5">
        <f t="shared" si="7"/>
        <v>1</v>
      </c>
      <c r="P54" s="5">
        <f t="shared" si="8"/>
        <v>0</v>
      </c>
      <c r="Q54" s="5">
        <f t="shared" si="9"/>
        <v>2</v>
      </c>
      <c r="R54" s="5">
        <f t="shared" si="10"/>
        <v>0</v>
      </c>
      <c r="S54" s="5">
        <f t="shared" si="11"/>
        <v>0</v>
      </c>
      <c r="T54" s="5">
        <f t="shared" si="12"/>
        <v>1</v>
      </c>
      <c r="U54"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5" spans="1:21" ht="54" customHeight="1">
      <c r="A55" s="2" t="s">
        <v>323</v>
      </c>
      <c r="B55" s="2" t="s">
        <v>342</v>
      </c>
      <c r="C55" s="2" t="s">
        <v>63</v>
      </c>
      <c r="D55" s="2" t="s">
        <v>50</v>
      </c>
      <c r="E55" s="2" t="s">
        <v>32</v>
      </c>
      <c r="F55" s="2" t="s">
        <v>19</v>
      </c>
      <c r="G55" s="2" t="s">
        <v>65</v>
      </c>
      <c r="H55" s="2" t="s">
        <v>64</v>
      </c>
      <c r="I55" s="2">
        <v>125</v>
      </c>
      <c r="J55" s="3" t="b">
        <v>1</v>
      </c>
      <c r="K55" s="4">
        <v>46255.691706550926</v>
      </c>
      <c r="L55" s="4">
        <v>46255.775039884262</v>
      </c>
      <c r="M55" s="4">
        <v>46255.775032754631</v>
      </c>
      <c r="N55" s="4">
        <v>46255.775040509259</v>
      </c>
      <c r="O55" s="5">
        <f t="shared" si="7"/>
        <v>1</v>
      </c>
      <c r="P55" s="5">
        <f t="shared" si="8"/>
        <v>0</v>
      </c>
      <c r="Q55" s="5">
        <f t="shared" si="9"/>
        <v>2</v>
      </c>
      <c r="R55" s="5">
        <f t="shared" si="10"/>
        <v>0</v>
      </c>
      <c r="S55" s="5">
        <f t="shared" si="11"/>
        <v>0</v>
      </c>
      <c r="T55" s="5">
        <f t="shared" si="12"/>
        <v>1</v>
      </c>
      <c r="U55"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6" spans="1:21" ht="54" customHeight="1">
      <c r="A56" s="2" t="s">
        <v>14</v>
      </c>
      <c r="B56" s="2" t="s">
        <v>343</v>
      </c>
      <c r="C56" s="2" t="s">
        <v>16</v>
      </c>
      <c r="D56" s="2" t="s">
        <v>17</v>
      </c>
      <c r="E56" s="2" t="s">
        <v>18</v>
      </c>
      <c r="F56" s="2" t="s">
        <v>19</v>
      </c>
      <c r="G56" s="2" t="s">
        <v>21</v>
      </c>
      <c r="H56" s="2" t="s">
        <v>20</v>
      </c>
      <c r="I56" s="2">
        <v>55</v>
      </c>
      <c r="J56" s="3" t="b">
        <v>1</v>
      </c>
      <c r="K56" s="4">
        <v>46255.440378402775</v>
      </c>
      <c r="L56" s="4">
        <v>46255.52371173611</v>
      </c>
      <c r="M56" s="4">
        <v>46255.523710648151</v>
      </c>
      <c r="N56" s="4">
        <v>46255.523712152775</v>
      </c>
      <c r="O56" s="5">
        <f t="shared" si="7"/>
        <v>1</v>
      </c>
      <c r="P56" s="5">
        <f t="shared" si="8"/>
        <v>0</v>
      </c>
      <c r="Q56" s="5">
        <f t="shared" si="9"/>
        <v>2</v>
      </c>
      <c r="R56" s="5">
        <f t="shared" si="10"/>
        <v>0</v>
      </c>
      <c r="S56" s="5">
        <f t="shared" si="11"/>
        <v>0</v>
      </c>
      <c r="T56" s="5">
        <f t="shared" si="12"/>
        <v>1</v>
      </c>
      <c r="U56"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7" spans="1:21" ht="54" customHeight="1">
      <c r="A57" s="2" t="s">
        <v>26</v>
      </c>
      <c r="B57" s="2" t="s">
        <v>343</v>
      </c>
      <c r="C57" s="2" t="s">
        <v>16</v>
      </c>
      <c r="D57" s="2" t="s">
        <v>17</v>
      </c>
      <c r="E57" s="2" t="s">
        <v>27</v>
      </c>
      <c r="F57" s="2" t="s">
        <v>19</v>
      </c>
      <c r="G57" s="2" t="s">
        <v>21</v>
      </c>
      <c r="H57" s="2" t="s">
        <v>20</v>
      </c>
      <c r="I57" s="2">
        <v>55</v>
      </c>
      <c r="J57" s="3" t="b">
        <v>1</v>
      </c>
      <c r="K57" s="4">
        <v>46255.443720740739</v>
      </c>
      <c r="L57" s="4">
        <v>46255.527054074075</v>
      </c>
      <c r="M57" s="4">
        <v>46255.527048611111</v>
      </c>
      <c r="N57" s="4">
        <v>46255.527054513892</v>
      </c>
      <c r="O57" s="5">
        <f t="shared" si="7"/>
        <v>1</v>
      </c>
      <c r="P57" s="5">
        <f t="shared" si="8"/>
        <v>0</v>
      </c>
      <c r="Q57" s="5">
        <f t="shared" si="9"/>
        <v>2</v>
      </c>
      <c r="R57" s="5">
        <f t="shared" si="10"/>
        <v>0</v>
      </c>
      <c r="S57" s="5">
        <f t="shared" si="11"/>
        <v>0</v>
      </c>
      <c r="T57" s="5">
        <f t="shared" si="12"/>
        <v>1</v>
      </c>
      <c r="U57"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8" spans="1:21" ht="54" customHeight="1">
      <c r="A58" s="2" t="s">
        <v>31</v>
      </c>
      <c r="B58" s="2" t="s">
        <v>343</v>
      </c>
      <c r="C58" s="2" t="s">
        <v>16</v>
      </c>
      <c r="D58" s="2" t="s">
        <v>17</v>
      </c>
      <c r="E58" s="2" t="s">
        <v>32</v>
      </c>
      <c r="F58" s="2" t="s">
        <v>19</v>
      </c>
      <c r="G58" s="2" t="s">
        <v>21</v>
      </c>
      <c r="H58" s="2" t="s">
        <v>20</v>
      </c>
      <c r="I58" s="2">
        <v>55</v>
      </c>
      <c r="J58" s="3" t="b">
        <v>1</v>
      </c>
      <c r="K58" s="4">
        <v>46255.446787962966</v>
      </c>
      <c r="L58" s="4">
        <v>46255.530121296295</v>
      </c>
      <c r="M58" s="4">
        <v>46255.530120370371</v>
      </c>
      <c r="N58" s="4">
        <v>46255.530121759257</v>
      </c>
      <c r="O58" s="5">
        <f t="shared" si="7"/>
        <v>1</v>
      </c>
      <c r="P58" s="5">
        <f t="shared" si="8"/>
        <v>0</v>
      </c>
      <c r="Q58" s="5">
        <f t="shared" si="9"/>
        <v>2</v>
      </c>
      <c r="R58" s="5">
        <f t="shared" si="10"/>
        <v>0</v>
      </c>
      <c r="S58" s="5">
        <f t="shared" si="11"/>
        <v>0</v>
      </c>
      <c r="T58" s="5">
        <f t="shared" si="12"/>
        <v>1</v>
      </c>
      <c r="U58"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59" spans="1:21" ht="54" customHeight="1">
      <c r="A59" s="2" t="s">
        <v>36</v>
      </c>
      <c r="B59" s="2" t="s">
        <v>343</v>
      </c>
      <c r="C59" s="2" t="s">
        <v>16</v>
      </c>
      <c r="D59" s="2" t="s">
        <v>37</v>
      </c>
      <c r="E59" s="2" t="s">
        <v>18</v>
      </c>
      <c r="F59" s="2" t="s">
        <v>19</v>
      </c>
      <c r="G59" s="2" t="s">
        <v>21</v>
      </c>
      <c r="H59" s="2" t="s">
        <v>20</v>
      </c>
      <c r="I59" s="2">
        <v>55</v>
      </c>
      <c r="J59" s="3" t="b">
        <v>1</v>
      </c>
      <c r="K59" s="4">
        <v>46255.528011493057</v>
      </c>
      <c r="L59" s="4">
        <v>46255.611344826386</v>
      </c>
      <c r="M59" s="4">
        <v>46255.611343171295</v>
      </c>
      <c r="N59" s="4">
        <v>46255.611345138888</v>
      </c>
      <c r="O59" s="5">
        <f t="shared" si="7"/>
        <v>1</v>
      </c>
      <c r="P59" s="5">
        <f t="shared" si="8"/>
        <v>0</v>
      </c>
      <c r="Q59" s="5">
        <f t="shared" si="9"/>
        <v>2</v>
      </c>
      <c r="R59" s="5">
        <f t="shared" si="10"/>
        <v>0</v>
      </c>
      <c r="S59" s="5">
        <f t="shared" si="11"/>
        <v>0</v>
      </c>
      <c r="T59" s="5">
        <f t="shared" si="12"/>
        <v>1</v>
      </c>
      <c r="U59"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0" spans="1:21" ht="54" customHeight="1">
      <c r="A60" s="2" t="s">
        <v>41</v>
      </c>
      <c r="B60" s="2" t="s">
        <v>343</v>
      </c>
      <c r="C60" s="2" t="s">
        <v>16</v>
      </c>
      <c r="D60" s="2" t="s">
        <v>37</v>
      </c>
      <c r="E60" s="2" t="s">
        <v>27</v>
      </c>
      <c r="F60" s="2" t="s">
        <v>19</v>
      </c>
      <c r="G60" s="2" t="s">
        <v>21</v>
      </c>
      <c r="H60" s="2" t="s">
        <v>20</v>
      </c>
      <c r="I60" s="2">
        <v>55</v>
      </c>
      <c r="J60" s="3" t="b">
        <v>1</v>
      </c>
      <c r="K60" s="4">
        <v>46255.531473680552</v>
      </c>
      <c r="L60" s="4">
        <v>46255.614807013888</v>
      </c>
      <c r="M60" s="4">
        <v>46255.614805555553</v>
      </c>
      <c r="N60" s="4">
        <v>46255.614807291669</v>
      </c>
      <c r="O60" s="5">
        <f t="shared" si="7"/>
        <v>1</v>
      </c>
      <c r="P60" s="5">
        <f t="shared" si="8"/>
        <v>0</v>
      </c>
      <c r="Q60" s="5">
        <f t="shared" si="9"/>
        <v>2</v>
      </c>
      <c r="R60" s="5">
        <f t="shared" si="10"/>
        <v>0</v>
      </c>
      <c r="S60" s="5">
        <f t="shared" si="11"/>
        <v>0</v>
      </c>
      <c r="T60" s="5">
        <f t="shared" si="12"/>
        <v>1</v>
      </c>
      <c r="U60"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1" spans="1:21" ht="54" customHeight="1">
      <c r="A61" s="2" t="s">
        <v>45</v>
      </c>
      <c r="B61" s="2" t="s">
        <v>343</v>
      </c>
      <c r="C61" s="2" t="s">
        <v>16</v>
      </c>
      <c r="D61" s="2" t="s">
        <v>37</v>
      </c>
      <c r="E61" s="2" t="s">
        <v>32</v>
      </c>
      <c r="F61" s="2" t="s">
        <v>19</v>
      </c>
      <c r="G61" s="2" t="s">
        <v>21</v>
      </c>
      <c r="H61" s="2" t="s">
        <v>20</v>
      </c>
      <c r="I61" s="2">
        <v>55</v>
      </c>
      <c r="J61" s="3" t="b">
        <v>1</v>
      </c>
      <c r="K61" s="4">
        <v>46255.534726979167</v>
      </c>
      <c r="L61" s="4">
        <v>46255.618060312503</v>
      </c>
      <c r="M61" s="4">
        <v>46255.61805902778</v>
      </c>
      <c r="N61" s="4">
        <v>46255.61806064815</v>
      </c>
      <c r="O61" s="5">
        <f t="shared" si="7"/>
        <v>1</v>
      </c>
      <c r="P61" s="5">
        <f t="shared" si="8"/>
        <v>0</v>
      </c>
      <c r="Q61" s="5">
        <f t="shared" si="9"/>
        <v>2</v>
      </c>
      <c r="R61" s="5">
        <f t="shared" si="10"/>
        <v>0</v>
      </c>
      <c r="S61" s="5">
        <f t="shared" si="11"/>
        <v>0</v>
      </c>
      <c r="T61" s="5">
        <f t="shared" si="12"/>
        <v>1</v>
      </c>
      <c r="U61"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2" spans="1:21" ht="54" customHeight="1">
      <c r="A62" s="2" t="s">
        <v>49</v>
      </c>
      <c r="B62" s="2" t="s">
        <v>343</v>
      </c>
      <c r="C62" s="2" t="s">
        <v>16</v>
      </c>
      <c r="D62" s="2" t="s">
        <v>50</v>
      </c>
      <c r="E62" s="2" t="s">
        <v>18</v>
      </c>
      <c r="F62" s="2" t="s">
        <v>19</v>
      </c>
      <c r="G62" s="2" t="s">
        <v>21</v>
      </c>
      <c r="H62" s="2" t="s">
        <v>20</v>
      </c>
      <c r="I62" s="2">
        <v>55</v>
      </c>
      <c r="J62" s="3" t="b">
        <v>1</v>
      </c>
      <c r="K62" s="4">
        <v>46255.703804942132</v>
      </c>
      <c r="L62" s="4">
        <v>46255.78713827546</v>
      </c>
      <c r="M62" s="4">
        <v>46255.787136226849</v>
      </c>
      <c r="N62" s="4">
        <v>46255.78713877315</v>
      </c>
      <c r="O62" s="5">
        <f t="shared" si="7"/>
        <v>1</v>
      </c>
      <c r="P62" s="5">
        <f t="shared" si="8"/>
        <v>0</v>
      </c>
      <c r="Q62" s="5">
        <f t="shared" si="9"/>
        <v>2</v>
      </c>
      <c r="R62" s="5">
        <f t="shared" si="10"/>
        <v>0</v>
      </c>
      <c r="S62" s="5">
        <f t="shared" si="11"/>
        <v>0</v>
      </c>
      <c r="T62" s="5">
        <f t="shared" si="12"/>
        <v>1</v>
      </c>
      <c r="U62"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3" spans="1:21" ht="54" customHeight="1">
      <c r="A63" s="2" t="s">
        <v>54</v>
      </c>
      <c r="B63" s="2" t="s">
        <v>343</v>
      </c>
      <c r="C63" s="2" t="s">
        <v>16</v>
      </c>
      <c r="D63" s="2" t="s">
        <v>50</v>
      </c>
      <c r="E63" s="2" t="s">
        <v>27</v>
      </c>
      <c r="F63" s="2" t="s">
        <v>19</v>
      </c>
      <c r="G63" s="2" t="s">
        <v>21</v>
      </c>
      <c r="H63" s="2" t="s">
        <v>20</v>
      </c>
      <c r="I63" s="2">
        <v>55</v>
      </c>
      <c r="J63" s="3" t="b">
        <v>1</v>
      </c>
      <c r="K63" s="4">
        <v>46255.709628171295</v>
      </c>
      <c r="L63" s="4">
        <v>46255.792961504631</v>
      </c>
      <c r="M63" s="4">
        <v>46255.792958912039</v>
      </c>
      <c r="N63" s="4">
        <v>46255.792962500003</v>
      </c>
      <c r="O63" s="5">
        <f t="shared" si="7"/>
        <v>1</v>
      </c>
      <c r="P63" s="5">
        <f t="shared" si="8"/>
        <v>0</v>
      </c>
      <c r="Q63" s="5">
        <f t="shared" si="9"/>
        <v>2</v>
      </c>
      <c r="R63" s="5">
        <f t="shared" si="10"/>
        <v>0</v>
      </c>
      <c r="S63" s="5">
        <f t="shared" si="11"/>
        <v>0</v>
      </c>
      <c r="T63" s="5">
        <f t="shared" si="12"/>
        <v>1</v>
      </c>
      <c r="U63"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4" spans="1:21" ht="54" customHeight="1">
      <c r="A64" s="2" t="s">
        <v>58</v>
      </c>
      <c r="B64" s="2" t="s">
        <v>343</v>
      </c>
      <c r="C64" s="2" t="s">
        <v>16</v>
      </c>
      <c r="D64" s="2" t="s">
        <v>50</v>
      </c>
      <c r="E64" s="2" t="s">
        <v>32</v>
      </c>
      <c r="F64" s="2" t="s">
        <v>19</v>
      </c>
      <c r="G64" s="2" t="s">
        <v>21</v>
      </c>
      <c r="H64" s="2" t="s">
        <v>20</v>
      </c>
      <c r="I64" s="2">
        <v>55</v>
      </c>
      <c r="J64" s="3" t="b">
        <v>1</v>
      </c>
      <c r="K64" s="4">
        <v>46255.718085393521</v>
      </c>
      <c r="L64" s="4">
        <v>46255.801418726849</v>
      </c>
      <c r="M64" s="4">
        <v>46255.801416319446</v>
      </c>
      <c r="N64" s="4">
        <v>46255.801419328702</v>
      </c>
      <c r="O64" s="5">
        <f t="shared" si="7"/>
        <v>1</v>
      </c>
      <c r="P64" s="5">
        <f t="shared" si="8"/>
        <v>0</v>
      </c>
      <c r="Q64" s="5">
        <f t="shared" si="9"/>
        <v>2</v>
      </c>
      <c r="R64" s="5">
        <f t="shared" si="10"/>
        <v>0</v>
      </c>
      <c r="S64" s="5">
        <f t="shared" si="11"/>
        <v>0</v>
      </c>
      <c r="T64" s="5">
        <f t="shared" si="12"/>
        <v>1</v>
      </c>
      <c r="U64"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5" spans="1:21" ht="54" customHeight="1">
      <c r="A65" s="2" t="s">
        <v>62</v>
      </c>
      <c r="B65" s="2" t="s">
        <v>343</v>
      </c>
      <c r="C65" s="2" t="s">
        <v>63</v>
      </c>
      <c r="D65" s="2" t="s">
        <v>17</v>
      </c>
      <c r="E65" s="2" t="s">
        <v>18</v>
      </c>
      <c r="F65" s="2" t="s">
        <v>19</v>
      </c>
      <c r="G65" s="2" t="s">
        <v>65</v>
      </c>
      <c r="H65" s="2" t="s">
        <v>64</v>
      </c>
      <c r="I65" s="2">
        <v>125</v>
      </c>
      <c r="J65" s="3" t="b">
        <v>1</v>
      </c>
      <c r="K65" s="4">
        <v>46255.449929652779</v>
      </c>
      <c r="L65" s="4">
        <v>46255.533262986108</v>
      </c>
      <c r="M65" s="4">
        <v>46255.533252314817</v>
      </c>
      <c r="N65" s="4">
        <v>46255.533263657409</v>
      </c>
      <c r="O65" s="5">
        <f t="shared" si="7"/>
        <v>1</v>
      </c>
      <c r="P65" s="5">
        <f t="shared" si="8"/>
        <v>0</v>
      </c>
      <c r="Q65" s="5">
        <f t="shared" si="9"/>
        <v>2</v>
      </c>
      <c r="R65" s="5">
        <f t="shared" si="10"/>
        <v>0</v>
      </c>
      <c r="S65" s="5">
        <f t="shared" si="11"/>
        <v>0</v>
      </c>
      <c r="T65" s="5">
        <f t="shared" si="12"/>
        <v>1</v>
      </c>
      <c r="U65" s="2" t="str">
        <f t="shared" si="13"/>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6" spans="1:21" ht="54" customHeight="1">
      <c r="A66" s="2" t="s">
        <v>70</v>
      </c>
      <c r="B66" s="2" t="s">
        <v>343</v>
      </c>
      <c r="C66" s="2" t="s">
        <v>63</v>
      </c>
      <c r="D66" s="2" t="s">
        <v>17</v>
      </c>
      <c r="E66" s="2" t="s">
        <v>27</v>
      </c>
      <c r="F66" s="2" t="s">
        <v>19</v>
      </c>
      <c r="G66" s="2" t="s">
        <v>65</v>
      </c>
      <c r="H66" s="2" t="s">
        <v>64</v>
      </c>
      <c r="I66" s="2">
        <v>125</v>
      </c>
      <c r="J66" s="3" t="b">
        <v>1</v>
      </c>
      <c r="K66" s="4">
        <v>46255.453097164354</v>
      </c>
      <c r="L66" s="4">
        <v>46255.536430497683</v>
      </c>
      <c r="M66" s="4">
        <v>46255.536427430554</v>
      </c>
      <c r="N66" s="4">
        <v>46255.536430902779</v>
      </c>
      <c r="O66" s="5">
        <f t="shared" ref="O66:O73" si="14">IF(AND(F66="MFT-Eintrag vorhanden",G66=IF(C66="A1",".\Lab\Outputs\A1",".\Lab\Outputs\A2"),L66&gt;=M66,L66&lt;=N66),1,0)</f>
        <v>1</v>
      </c>
      <c r="P66" s="5">
        <f t="shared" ref="P66:P73" si="15">IF(O66=1,0,"-")</f>
        <v>0</v>
      </c>
      <c r="Q66" s="5">
        <f t="shared" ref="Q66:Q73" si="16">IF(O66=1,2,"-")</f>
        <v>2</v>
      </c>
      <c r="R66" s="5">
        <f t="shared" ref="R66:R73" si="17">IF(O66=1,0,"-")</f>
        <v>0</v>
      </c>
      <c r="S66" s="5">
        <f t="shared" ref="S66:S73" si="18">IF(O66=1,0,"-")</f>
        <v>0</v>
      </c>
      <c r="T66" s="5">
        <f t="shared" ref="T66:T73" si="19">IF(O66=1,1,"-")</f>
        <v>1</v>
      </c>
      <c r="U66" s="2" t="str">
        <f t="shared" ref="U66:U73" si="20">IF(O66=0,"Kein run-spezifischer MFT-Nachweis.",_xlfn._LONGTEXT("Run-spezifischer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f>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7" spans="1:21" ht="54" customHeight="1">
      <c r="A67" s="2" t="s">
        <v>74</v>
      </c>
      <c r="B67" s="2" t="s">
        <v>343</v>
      </c>
      <c r="C67" s="2" t="s">
        <v>63</v>
      </c>
      <c r="D67" s="2" t="s">
        <v>17</v>
      </c>
      <c r="E67" s="2" t="s">
        <v>32</v>
      </c>
      <c r="F67" s="2" t="s">
        <v>19</v>
      </c>
      <c r="G67" s="2" t="s">
        <v>65</v>
      </c>
      <c r="H67" s="2" t="s">
        <v>64</v>
      </c>
      <c r="I67" s="2">
        <v>125</v>
      </c>
      <c r="J67" s="3" t="b">
        <v>1</v>
      </c>
      <c r="K67" s="4">
        <v>46255.456484189817</v>
      </c>
      <c r="L67" s="4">
        <v>46255.539817523146</v>
      </c>
      <c r="M67" s="4">
        <v>46255.539812962961</v>
      </c>
      <c r="N67" s="4">
        <v>46255.539817824072</v>
      </c>
      <c r="O67" s="5">
        <f t="shared" si="14"/>
        <v>1</v>
      </c>
      <c r="P67" s="5">
        <f t="shared" si="15"/>
        <v>0</v>
      </c>
      <c r="Q67" s="5">
        <f t="shared" si="16"/>
        <v>2</v>
      </c>
      <c r="R67" s="5">
        <f t="shared" si="17"/>
        <v>0</v>
      </c>
      <c r="S67" s="5">
        <f t="shared" si="18"/>
        <v>0</v>
      </c>
      <c r="T67" s="5">
        <f t="shared" si="19"/>
        <v>1</v>
      </c>
      <c r="U67" s="2" t="str">
        <f t="shared" si="20"/>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8" spans="1:21" ht="54" customHeight="1">
      <c r="A68" s="2" t="s">
        <v>78</v>
      </c>
      <c r="B68" s="2" t="s">
        <v>343</v>
      </c>
      <c r="C68" s="2" t="s">
        <v>63</v>
      </c>
      <c r="D68" s="2" t="s">
        <v>37</v>
      </c>
      <c r="E68" s="2" t="s">
        <v>18</v>
      </c>
      <c r="F68" s="2" t="s">
        <v>19</v>
      </c>
      <c r="G68" s="2" t="s">
        <v>65</v>
      </c>
      <c r="H68" s="2" t="s">
        <v>64</v>
      </c>
      <c r="I68" s="2">
        <v>125</v>
      </c>
      <c r="J68" s="3" t="b">
        <v>1</v>
      </c>
      <c r="K68" s="4">
        <v>46255.539805532404</v>
      </c>
      <c r="L68" s="4">
        <v>46255.62313886574</v>
      </c>
      <c r="M68" s="4">
        <v>46255.623129976855</v>
      </c>
      <c r="N68" s="4">
        <v>46255.623139236108</v>
      </c>
      <c r="O68" s="5">
        <f t="shared" si="14"/>
        <v>1</v>
      </c>
      <c r="P68" s="5">
        <f t="shared" si="15"/>
        <v>0</v>
      </c>
      <c r="Q68" s="5">
        <f t="shared" si="16"/>
        <v>2</v>
      </c>
      <c r="R68" s="5">
        <f t="shared" si="17"/>
        <v>0</v>
      </c>
      <c r="S68" s="5">
        <f t="shared" si="18"/>
        <v>0</v>
      </c>
      <c r="T68" s="5">
        <f t="shared" si="19"/>
        <v>1</v>
      </c>
      <c r="U68" s="2" t="str">
        <f t="shared" si="20"/>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69" spans="1:21" ht="54" customHeight="1">
      <c r="A69" s="2" t="s">
        <v>82</v>
      </c>
      <c r="B69" s="2" t="s">
        <v>343</v>
      </c>
      <c r="C69" s="2" t="s">
        <v>63</v>
      </c>
      <c r="D69" s="2" t="s">
        <v>37</v>
      </c>
      <c r="E69" s="2" t="s">
        <v>27</v>
      </c>
      <c r="F69" s="2" t="s">
        <v>19</v>
      </c>
      <c r="G69" s="2" t="s">
        <v>65</v>
      </c>
      <c r="H69" s="2" t="s">
        <v>64</v>
      </c>
      <c r="I69" s="2">
        <v>125</v>
      </c>
      <c r="J69" s="3" t="b">
        <v>1</v>
      </c>
      <c r="K69" s="4">
        <v>46255.542994189818</v>
      </c>
      <c r="L69" s="4">
        <v>46255.626327523147</v>
      </c>
      <c r="M69" s="4">
        <v>46255.626319212963</v>
      </c>
      <c r="N69" s="4">
        <v>46255.626327893522</v>
      </c>
      <c r="O69" s="5">
        <f t="shared" si="14"/>
        <v>1</v>
      </c>
      <c r="P69" s="5">
        <f t="shared" si="15"/>
        <v>0</v>
      </c>
      <c r="Q69" s="5">
        <f t="shared" si="16"/>
        <v>2</v>
      </c>
      <c r="R69" s="5">
        <f t="shared" si="17"/>
        <v>0</v>
      </c>
      <c r="S69" s="5">
        <f t="shared" si="18"/>
        <v>0</v>
      </c>
      <c r="T69" s="5">
        <f t="shared" si="19"/>
        <v>1</v>
      </c>
      <c r="U69" s="2" t="str">
        <f t="shared" si="20"/>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70" spans="1:21" ht="54" customHeight="1">
      <c r="A70" s="2" t="s">
        <v>86</v>
      </c>
      <c r="B70" s="2" t="s">
        <v>343</v>
      </c>
      <c r="C70" s="2" t="s">
        <v>63</v>
      </c>
      <c r="D70" s="2" t="s">
        <v>37</v>
      </c>
      <c r="E70" s="2" t="s">
        <v>32</v>
      </c>
      <c r="F70" s="2" t="s">
        <v>19</v>
      </c>
      <c r="G70" s="2" t="s">
        <v>65</v>
      </c>
      <c r="H70" s="2" t="s">
        <v>64</v>
      </c>
      <c r="I70" s="2">
        <v>125</v>
      </c>
      <c r="J70" s="3" t="b">
        <v>1</v>
      </c>
      <c r="K70" s="4">
        <v>46255.547309467591</v>
      </c>
      <c r="L70" s="4">
        <v>46255.630642800927</v>
      </c>
      <c r="M70" s="4">
        <v>46255.630634143519</v>
      </c>
      <c r="N70" s="4">
        <v>46255.630643055556</v>
      </c>
      <c r="O70" s="5">
        <f t="shared" si="14"/>
        <v>1</v>
      </c>
      <c r="P70" s="5">
        <f t="shared" si="15"/>
        <v>0</v>
      </c>
      <c r="Q70" s="5">
        <f t="shared" si="16"/>
        <v>2</v>
      </c>
      <c r="R70" s="5">
        <f t="shared" si="17"/>
        <v>0</v>
      </c>
      <c r="S70" s="5">
        <f t="shared" si="18"/>
        <v>0</v>
      </c>
      <c r="T70" s="5">
        <f t="shared" si="19"/>
        <v>1</v>
      </c>
      <c r="U70" s="2" t="str">
        <f t="shared" si="20"/>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71" spans="1:21" ht="54" customHeight="1">
      <c r="A71" s="2" t="s">
        <v>90</v>
      </c>
      <c r="B71" s="2" t="s">
        <v>343</v>
      </c>
      <c r="C71" s="2" t="s">
        <v>63</v>
      </c>
      <c r="D71" s="2" t="s">
        <v>50</v>
      </c>
      <c r="E71" s="2" t="s">
        <v>18</v>
      </c>
      <c r="F71" s="2" t="s">
        <v>19</v>
      </c>
      <c r="G71" s="2" t="s">
        <v>65</v>
      </c>
      <c r="H71" s="2" t="s">
        <v>64</v>
      </c>
      <c r="I71" s="2">
        <v>125</v>
      </c>
      <c r="J71" s="3" t="b">
        <v>1</v>
      </c>
      <c r="K71" s="4">
        <v>46255.723236342594</v>
      </c>
      <c r="L71" s="4">
        <v>46255.806569675929</v>
      </c>
      <c r="M71" s="4">
        <v>46255.806561921294</v>
      </c>
      <c r="N71" s="4">
        <v>46255.80657025463</v>
      </c>
      <c r="O71" s="5">
        <f t="shared" si="14"/>
        <v>1</v>
      </c>
      <c r="P71" s="5">
        <f t="shared" si="15"/>
        <v>0</v>
      </c>
      <c r="Q71" s="5">
        <f t="shared" si="16"/>
        <v>2</v>
      </c>
      <c r="R71" s="5">
        <f t="shared" si="17"/>
        <v>0</v>
      </c>
      <c r="S71" s="5">
        <f t="shared" si="18"/>
        <v>0</v>
      </c>
      <c r="T71" s="5">
        <f t="shared" si="19"/>
        <v>1</v>
      </c>
      <c r="U71" s="2" t="str">
        <f t="shared" si="20"/>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72" spans="1:21" ht="54" customHeight="1">
      <c r="A72" s="2" t="s">
        <v>94</v>
      </c>
      <c r="B72" s="2" t="s">
        <v>343</v>
      </c>
      <c r="C72" s="2" t="s">
        <v>63</v>
      </c>
      <c r="D72" s="2" t="s">
        <v>50</v>
      </c>
      <c r="E72" s="2" t="s">
        <v>27</v>
      </c>
      <c r="F72" s="2" t="s">
        <v>19</v>
      </c>
      <c r="G72" s="2" t="s">
        <v>65</v>
      </c>
      <c r="H72" s="2" t="s">
        <v>64</v>
      </c>
      <c r="I72" s="2">
        <v>125</v>
      </c>
      <c r="J72" s="3" t="b">
        <v>1</v>
      </c>
      <c r="K72" s="4">
        <v>46255.729771909719</v>
      </c>
      <c r="L72" s="4">
        <v>46255.813105243054</v>
      </c>
      <c r="M72" s="4">
        <v>46255.813096990743</v>
      </c>
      <c r="N72" s="4">
        <v>46255.813105555557</v>
      </c>
      <c r="O72" s="5">
        <f t="shared" si="14"/>
        <v>1</v>
      </c>
      <c r="P72" s="5">
        <f t="shared" si="15"/>
        <v>0</v>
      </c>
      <c r="Q72" s="5">
        <f t="shared" si="16"/>
        <v>2</v>
      </c>
      <c r="R72" s="5">
        <f t="shared" si="17"/>
        <v>0</v>
      </c>
      <c r="S72" s="5">
        <f t="shared" si="18"/>
        <v>0</v>
      </c>
      <c r="T72" s="5">
        <f t="shared" si="19"/>
        <v>1</v>
      </c>
      <c r="U72" s="2" t="str">
        <f t="shared" si="20"/>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row r="73" spans="1:21" ht="54" customHeight="1">
      <c r="A73" s="2" t="s">
        <v>98</v>
      </c>
      <c r="B73" s="2" t="s">
        <v>343</v>
      </c>
      <c r="C73" s="2" t="s">
        <v>63</v>
      </c>
      <c r="D73" s="2" t="s">
        <v>50</v>
      </c>
      <c r="E73" s="2" t="s">
        <v>32</v>
      </c>
      <c r="F73" s="2" t="s">
        <v>19</v>
      </c>
      <c r="G73" s="2" t="s">
        <v>65</v>
      </c>
      <c r="H73" s="2" t="s">
        <v>64</v>
      </c>
      <c r="I73" s="2">
        <v>125</v>
      </c>
      <c r="J73" s="3" t="b">
        <v>1</v>
      </c>
      <c r="K73" s="4">
        <v>46255.734884560188</v>
      </c>
      <c r="L73" s="4">
        <v>46255.818217893517</v>
      </c>
      <c r="M73" s="4">
        <v>46255.818209606485</v>
      </c>
      <c r="N73" s="4">
        <v>46255.818218518521</v>
      </c>
      <c r="O73" s="5">
        <f t="shared" si="14"/>
        <v>1</v>
      </c>
      <c r="P73" s="5">
        <f t="shared" si="15"/>
        <v>0</v>
      </c>
      <c r="Q73" s="5">
        <f t="shared" si="16"/>
        <v>2</v>
      </c>
      <c r="R73" s="5">
        <f t="shared" si="17"/>
        <v>0</v>
      </c>
      <c r="S73" s="5">
        <f t="shared" si="18"/>
        <v>0</v>
      </c>
      <c r="T73" s="5">
        <f t="shared" si="19"/>
        <v>1</v>
      </c>
      <c r="U73" s="2" t="str">
        <f t="shared" si="20"/>
        <v>Run-spezifischer MFT-Befund: Die erwartete Ergebnisdatei und Created0x10 liegen im Execution-Zeitraum. Die MFT stellt jedoch keine Beziehung zwischen der Datei und der ausführenden Zielkomponente her; der Dateiname ist Bestandteil des experimentellen Designs und wird nicht als Komponentenbezug gewertet. Benutzer- und Aufrufkontext fehlen; die Ergebnisdatei liefert begrenzten Handlungskontext.</v>
      </c>
    </row>
  </sheetData>
  <conditionalFormatting sqref="O2:O73">
    <cfRule type="expression" dxfId="1" priority="1">
      <formula>O2=1</formula>
    </cfRule>
    <cfRule type="expression" dxfId="0" priority="2">
      <formula>O2=0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tabSelected="1" workbookViewId="0">
      <selection activeCell="A29" sqref="A29:XFD29"/>
    </sheetView>
  </sheetViews>
  <sheetFormatPr baseColWidth="10" defaultColWidth="9" defaultRowHeight="14.25"/>
  <cols>
    <col min="1" max="1" width="18" customWidth="1"/>
    <col min="2" max="2" width="14" customWidth="1"/>
    <col min="3" max="3" width="15" customWidth="1"/>
    <col min="4" max="4" width="10" customWidth="1"/>
    <col min="5" max="9" width="8" customWidth="1"/>
    <col min="10" max="10" width="35" customWidth="1"/>
  </cols>
  <sheetData>
    <row r="1" spans="1:10" ht="15">
      <c r="A1" s="1" t="s">
        <v>1</v>
      </c>
      <c r="B1" s="1" t="s">
        <v>2</v>
      </c>
      <c r="C1" s="1" t="s">
        <v>344</v>
      </c>
      <c r="D1" s="1" t="s">
        <v>345</v>
      </c>
      <c r="E1" s="1" t="s">
        <v>334</v>
      </c>
      <c r="F1" s="1" t="s">
        <v>335</v>
      </c>
      <c r="G1" s="1" t="s">
        <v>336</v>
      </c>
      <c r="H1" s="1" t="s">
        <v>337</v>
      </c>
      <c r="I1" s="1" t="s">
        <v>338</v>
      </c>
      <c r="J1" s="1" t="s">
        <v>346</v>
      </c>
    </row>
    <row r="2" spans="1:10">
      <c r="A2" s="9" t="s">
        <v>340</v>
      </c>
      <c r="B2" s="9" t="s">
        <v>16</v>
      </c>
      <c r="C2" s="9" t="s">
        <v>17</v>
      </c>
      <c r="D2" s="10" t="str">
        <f>COUNTIF('Run-Level bewertet'!O2:O4,1)&amp;"/3"</f>
        <v>3/3</v>
      </c>
      <c r="E2" s="10">
        <f>IF(D2="0/3","-",MIN('Run-Level bewertet'!P2:P4))</f>
        <v>0</v>
      </c>
      <c r="F2" s="10">
        <f>IF(D2="0/3","-",MIN('Run-Level bewertet'!Q2:Q4))</f>
        <v>2</v>
      </c>
      <c r="G2" s="10">
        <f>IF(D2="0/3","-",MIN('Run-Level bewertet'!R2:R4))</f>
        <v>0</v>
      </c>
      <c r="H2" s="10">
        <f>IF(D2="0/3","-",MIN('Run-Level bewertet'!S2:S4))</f>
        <v>0</v>
      </c>
      <c r="I2" s="10">
        <f>IF(D2="0/3","-",MIN('Run-Level bewertet'!T2:T4))</f>
        <v>1</v>
      </c>
      <c r="J2" s="9" t="str">
        <f t="shared" ref="J2:J25" si="0">IF(D2="0/3",D2&amp;" · -",D2&amp;" · K"&amp;E2&amp;" T"&amp;F2&amp;" U"&amp;G2&amp;" A"&amp;H2&amp;" H"&amp;I2)</f>
        <v>3/3 · K0 T2 U0 A0 H1</v>
      </c>
    </row>
    <row r="3" spans="1:10">
      <c r="A3" s="9" t="s">
        <v>340</v>
      </c>
      <c r="B3" s="9" t="s">
        <v>16</v>
      </c>
      <c r="C3" s="9" t="s">
        <v>37</v>
      </c>
      <c r="D3" s="10" t="str">
        <f>COUNTIF('Run-Level bewertet'!O5:O7,1)&amp;"/3"</f>
        <v>3/3</v>
      </c>
      <c r="E3" s="10">
        <f>IF(D3="0/3","-",MIN('Run-Level bewertet'!P5:P7))</f>
        <v>0</v>
      </c>
      <c r="F3" s="10">
        <f>IF(D3="0/3","-",MIN('Run-Level bewertet'!Q5:Q7))</f>
        <v>2</v>
      </c>
      <c r="G3" s="10">
        <f>IF(D3="0/3","-",MIN('Run-Level bewertet'!R5:R7))</f>
        <v>0</v>
      </c>
      <c r="H3" s="10">
        <f>IF(D3="0/3","-",MIN('Run-Level bewertet'!S5:S7))</f>
        <v>0</v>
      </c>
      <c r="I3" s="10">
        <f>IF(D3="0/3","-",MIN('Run-Level bewertet'!T5:T7))</f>
        <v>1</v>
      </c>
      <c r="J3" s="9" t="str">
        <f t="shared" si="0"/>
        <v>3/3 · K0 T2 U0 A0 H1</v>
      </c>
    </row>
    <row r="4" spans="1:10">
      <c r="A4" s="9" t="s">
        <v>340</v>
      </c>
      <c r="B4" s="9" t="s">
        <v>16</v>
      </c>
      <c r="C4" s="9" t="s">
        <v>50</v>
      </c>
      <c r="D4" s="10" t="str">
        <f>COUNTIF('Run-Level bewertet'!O8:O10,1)&amp;"/3"</f>
        <v>3/3</v>
      </c>
      <c r="E4" s="10">
        <f>IF(D4="0/3","-",MIN('Run-Level bewertet'!P8:P10))</f>
        <v>0</v>
      </c>
      <c r="F4" s="10">
        <f>IF(D4="0/3","-",MIN('Run-Level bewertet'!Q8:Q10))</f>
        <v>2</v>
      </c>
      <c r="G4" s="10">
        <f>IF(D4="0/3","-",MIN('Run-Level bewertet'!R8:R10))</f>
        <v>0</v>
      </c>
      <c r="H4" s="10">
        <f>IF(D4="0/3","-",MIN('Run-Level bewertet'!S8:S10))</f>
        <v>0</v>
      </c>
      <c r="I4" s="10">
        <f>IF(D4="0/3","-",MIN('Run-Level bewertet'!T8:T10))</f>
        <v>1</v>
      </c>
      <c r="J4" s="9" t="str">
        <f t="shared" si="0"/>
        <v>3/3 · K0 T2 U0 A0 H1</v>
      </c>
    </row>
    <row r="5" spans="1:10">
      <c r="A5" s="9" t="s">
        <v>340</v>
      </c>
      <c r="B5" s="9" t="s">
        <v>63</v>
      </c>
      <c r="C5" s="9" t="s">
        <v>17</v>
      </c>
      <c r="D5" s="10" t="str">
        <f>COUNTIF('Run-Level bewertet'!O11:O13,1)&amp;"/3"</f>
        <v>3/3</v>
      </c>
      <c r="E5" s="10">
        <f>IF(D5="0/3","-",MIN('Run-Level bewertet'!P11:P13))</f>
        <v>0</v>
      </c>
      <c r="F5" s="10">
        <f>IF(D5="0/3","-",MIN('Run-Level bewertet'!Q11:Q13))</f>
        <v>2</v>
      </c>
      <c r="G5" s="10">
        <f>IF(D5="0/3","-",MIN('Run-Level bewertet'!R11:R13))</f>
        <v>0</v>
      </c>
      <c r="H5" s="10">
        <f>IF(D5="0/3","-",MIN('Run-Level bewertet'!S11:S13))</f>
        <v>0</v>
      </c>
      <c r="I5" s="10">
        <f>IF(D5="0/3","-",MIN('Run-Level bewertet'!T11:T13))</f>
        <v>1</v>
      </c>
      <c r="J5" s="9" t="str">
        <f t="shared" si="0"/>
        <v>3/3 · K0 T2 U0 A0 H1</v>
      </c>
    </row>
    <row r="6" spans="1:10">
      <c r="A6" s="9" t="s">
        <v>340</v>
      </c>
      <c r="B6" s="9" t="s">
        <v>63</v>
      </c>
      <c r="C6" s="9" t="s">
        <v>37</v>
      </c>
      <c r="D6" s="10" t="str">
        <f>COUNTIF('Run-Level bewertet'!O14:O16,1)&amp;"/3"</f>
        <v>3/3</v>
      </c>
      <c r="E6" s="10">
        <f>IF(D6="0/3","-",MIN('Run-Level bewertet'!P14:P16))</f>
        <v>0</v>
      </c>
      <c r="F6" s="10">
        <f>IF(D6="0/3","-",MIN('Run-Level bewertet'!Q14:Q16))</f>
        <v>2</v>
      </c>
      <c r="G6" s="10">
        <f>IF(D6="0/3","-",MIN('Run-Level bewertet'!R14:R16))</f>
        <v>0</v>
      </c>
      <c r="H6" s="10">
        <f>IF(D6="0/3","-",MIN('Run-Level bewertet'!S14:S16))</f>
        <v>0</v>
      </c>
      <c r="I6" s="10">
        <f>IF(D6="0/3","-",MIN('Run-Level bewertet'!T14:T16))</f>
        <v>1</v>
      </c>
      <c r="J6" s="9" t="str">
        <f t="shared" si="0"/>
        <v>3/3 · K0 T2 U0 A0 H1</v>
      </c>
    </row>
    <row r="7" spans="1:10">
      <c r="A7" s="9" t="s">
        <v>340</v>
      </c>
      <c r="B7" s="9" t="s">
        <v>63</v>
      </c>
      <c r="C7" s="9" t="s">
        <v>50</v>
      </c>
      <c r="D7" s="10" t="str">
        <f>COUNTIF('Run-Level bewertet'!O17:O19,1)&amp;"/3"</f>
        <v>3/3</v>
      </c>
      <c r="E7" s="10">
        <f>IF(D7="0/3","-",MIN('Run-Level bewertet'!P17:P19))</f>
        <v>0</v>
      </c>
      <c r="F7" s="10">
        <f>IF(D7="0/3","-",MIN('Run-Level bewertet'!Q17:Q19))</f>
        <v>2</v>
      </c>
      <c r="G7" s="10">
        <f>IF(D7="0/3","-",MIN('Run-Level bewertet'!R17:R19))</f>
        <v>0</v>
      </c>
      <c r="H7" s="10">
        <f>IF(D7="0/3","-",MIN('Run-Level bewertet'!S17:S19))</f>
        <v>0</v>
      </c>
      <c r="I7" s="10">
        <f>IF(D7="0/3","-",MIN('Run-Level bewertet'!T17:T19))</f>
        <v>1</v>
      </c>
      <c r="J7" s="9" t="str">
        <f t="shared" si="0"/>
        <v>3/3 · K0 T2 U0 A0 H1</v>
      </c>
    </row>
    <row r="8" spans="1:10">
      <c r="A8" s="9" t="s">
        <v>341</v>
      </c>
      <c r="B8" s="9" t="s">
        <v>16</v>
      </c>
      <c r="C8" s="9" t="s">
        <v>17</v>
      </c>
      <c r="D8" s="10" t="str">
        <f>COUNTIF('Run-Level bewertet'!O20:O22,1)&amp;"/3"</f>
        <v>3/3</v>
      </c>
      <c r="E8" s="10">
        <f>IF(D8="0/3","-",MIN('Run-Level bewertet'!P20:P22))</f>
        <v>0</v>
      </c>
      <c r="F8" s="10">
        <f>IF(D8="0/3","-",MIN('Run-Level bewertet'!Q20:Q22))</f>
        <v>2</v>
      </c>
      <c r="G8" s="10">
        <f>IF(D8="0/3","-",MIN('Run-Level bewertet'!R20:R22))</f>
        <v>0</v>
      </c>
      <c r="H8" s="10">
        <f>IF(D8="0/3","-",MIN('Run-Level bewertet'!S20:S22))</f>
        <v>0</v>
      </c>
      <c r="I8" s="10">
        <f>IF(D8="0/3","-",MIN('Run-Level bewertet'!T20:T22))</f>
        <v>1</v>
      </c>
      <c r="J8" s="9" t="str">
        <f t="shared" si="0"/>
        <v>3/3 · K0 T2 U0 A0 H1</v>
      </c>
    </row>
    <row r="9" spans="1:10">
      <c r="A9" s="9" t="s">
        <v>341</v>
      </c>
      <c r="B9" s="9" t="s">
        <v>16</v>
      </c>
      <c r="C9" s="9" t="s">
        <v>37</v>
      </c>
      <c r="D9" s="10" t="str">
        <f>COUNTIF('Run-Level bewertet'!O23:O25,1)&amp;"/3"</f>
        <v>3/3</v>
      </c>
      <c r="E9" s="10">
        <f>IF(D9="0/3","-",MIN('Run-Level bewertet'!P23:P25))</f>
        <v>0</v>
      </c>
      <c r="F9" s="10">
        <f>IF(D9="0/3","-",MIN('Run-Level bewertet'!Q23:Q25))</f>
        <v>2</v>
      </c>
      <c r="G9" s="10">
        <f>IF(D9="0/3","-",MIN('Run-Level bewertet'!R23:R25))</f>
        <v>0</v>
      </c>
      <c r="H9" s="10">
        <f>IF(D9="0/3","-",MIN('Run-Level bewertet'!S23:S25))</f>
        <v>0</v>
      </c>
      <c r="I9" s="10">
        <f>IF(D9="0/3","-",MIN('Run-Level bewertet'!T23:T25))</f>
        <v>1</v>
      </c>
      <c r="J9" s="9" t="str">
        <f t="shared" si="0"/>
        <v>3/3 · K0 T2 U0 A0 H1</v>
      </c>
    </row>
    <row r="10" spans="1:10">
      <c r="A10" s="9" t="s">
        <v>341</v>
      </c>
      <c r="B10" s="9" t="s">
        <v>16</v>
      </c>
      <c r="C10" s="9" t="s">
        <v>50</v>
      </c>
      <c r="D10" s="10" t="str">
        <f>COUNTIF('Run-Level bewertet'!O26:O28,1)&amp;"/3"</f>
        <v>3/3</v>
      </c>
      <c r="E10" s="10">
        <f>IF(D10="0/3","-",MIN('Run-Level bewertet'!P26:P28))</f>
        <v>0</v>
      </c>
      <c r="F10" s="10">
        <f>IF(D10="0/3","-",MIN('Run-Level bewertet'!Q26:Q28))</f>
        <v>2</v>
      </c>
      <c r="G10" s="10">
        <f>IF(D10="0/3","-",MIN('Run-Level bewertet'!R26:R28))</f>
        <v>0</v>
      </c>
      <c r="H10" s="10">
        <f>IF(D10="0/3","-",MIN('Run-Level bewertet'!S26:S28))</f>
        <v>0</v>
      </c>
      <c r="I10" s="10">
        <f>IF(D10="0/3","-",MIN('Run-Level bewertet'!T26:T28))</f>
        <v>1</v>
      </c>
      <c r="J10" s="9" t="str">
        <f t="shared" si="0"/>
        <v>3/3 · K0 T2 U0 A0 H1</v>
      </c>
    </row>
    <row r="11" spans="1:10">
      <c r="A11" s="9" t="s">
        <v>341</v>
      </c>
      <c r="B11" s="9" t="s">
        <v>63</v>
      </c>
      <c r="C11" s="9" t="s">
        <v>17</v>
      </c>
      <c r="D11" s="10" t="str">
        <f>COUNTIF('Run-Level bewertet'!O29:O31,1)&amp;"/3"</f>
        <v>3/3</v>
      </c>
      <c r="E11" s="10">
        <f>IF(D11="0/3","-",MIN('Run-Level bewertet'!P29:P31))</f>
        <v>0</v>
      </c>
      <c r="F11" s="10">
        <f>IF(D11="0/3","-",MIN('Run-Level bewertet'!Q29:Q31))</f>
        <v>2</v>
      </c>
      <c r="G11" s="10">
        <f>IF(D11="0/3","-",MIN('Run-Level bewertet'!R29:R31))</f>
        <v>0</v>
      </c>
      <c r="H11" s="10">
        <f>IF(D11="0/3","-",MIN('Run-Level bewertet'!S29:S31))</f>
        <v>0</v>
      </c>
      <c r="I11" s="10">
        <f>IF(D11="0/3","-",MIN('Run-Level bewertet'!T29:T31))</f>
        <v>1</v>
      </c>
      <c r="J11" s="9" t="str">
        <f t="shared" si="0"/>
        <v>3/3 · K0 T2 U0 A0 H1</v>
      </c>
    </row>
    <row r="12" spans="1:10">
      <c r="A12" s="9" t="s">
        <v>341</v>
      </c>
      <c r="B12" s="9" t="s">
        <v>63</v>
      </c>
      <c r="C12" s="9" t="s">
        <v>37</v>
      </c>
      <c r="D12" s="10" t="str">
        <f>COUNTIF('Run-Level bewertet'!O32:O34,1)&amp;"/3"</f>
        <v>3/3</v>
      </c>
      <c r="E12" s="10">
        <f>IF(D12="0/3","-",MIN('Run-Level bewertet'!P32:P34))</f>
        <v>0</v>
      </c>
      <c r="F12" s="10">
        <f>IF(D12="0/3","-",MIN('Run-Level bewertet'!Q32:Q34))</f>
        <v>2</v>
      </c>
      <c r="G12" s="10">
        <f>IF(D12="0/3","-",MIN('Run-Level bewertet'!R32:R34))</f>
        <v>0</v>
      </c>
      <c r="H12" s="10">
        <f>IF(D12="0/3","-",MIN('Run-Level bewertet'!S32:S34))</f>
        <v>0</v>
      </c>
      <c r="I12" s="10">
        <f>IF(D12="0/3","-",MIN('Run-Level bewertet'!T32:T34))</f>
        <v>1</v>
      </c>
      <c r="J12" s="9" t="str">
        <f t="shared" si="0"/>
        <v>3/3 · K0 T2 U0 A0 H1</v>
      </c>
    </row>
    <row r="13" spans="1:10">
      <c r="A13" s="9" t="s">
        <v>341</v>
      </c>
      <c r="B13" s="9" t="s">
        <v>63</v>
      </c>
      <c r="C13" s="9" t="s">
        <v>50</v>
      </c>
      <c r="D13" s="10" t="str">
        <f>COUNTIF('Run-Level bewertet'!O35:O37,1)&amp;"/3"</f>
        <v>3/3</v>
      </c>
      <c r="E13" s="10">
        <f>IF(D13="0/3","-",MIN('Run-Level bewertet'!P35:P37))</f>
        <v>0</v>
      </c>
      <c r="F13" s="10">
        <f>IF(D13="0/3","-",MIN('Run-Level bewertet'!Q35:Q37))</f>
        <v>2</v>
      </c>
      <c r="G13" s="10">
        <f>IF(D13="0/3","-",MIN('Run-Level bewertet'!R35:R37))</f>
        <v>0</v>
      </c>
      <c r="H13" s="10">
        <f>IF(D13="0/3","-",MIN('Run-Level bewertet'!S35:S37))</f>
        <v>0</v>
      </c>
      <c r="I13" s="10">
        <f>IF(D13="0/3","-",MIN('Run-Level bewertet'!T35:T37))</f>
        <v>1</v>
      </c>
      <c r="J13" s="9" t="str">
        <f t="shared" si="0"/>
        <v>3/3 · K0 T2 U0 A0 H1</v>
      </c>
    </row>
    <row r="14" spans="1:10">
      <c r="A14" s="9" t="s">
        <v>342</v>
      </c>
      <c r="B14" s="9" t="s">
        <v>16</v>
      </c>
      <c r="C14" s="9" t="s">
        <v>17</v>
      </c>
      <c r="D14" s="10" t="str">
        <f>COUNTIF('Run-Level bewertet'!O38:O40,1)&amp;"/3"</f>
        <v>3/3</v>
      </c>
      <c r="E14" s="10">
        <f>IF(D14="0/3","-",MIN('Run-Level bewertet'!P38:P40))</f>
        <v>0</v>
      </c>
      <c r="F14" s="10">
        <f>IF(D14="0/3","-",MIN('Run-Level bewertet'!Q38:Q40))</f>
        <v>2</v>
      </c>
      <c r="G14" s="10">
        <f>IF(D14="0/3","-",MIN('Run-Level bewertet'!R38:R40))</f>
        <v>0</v>
      </c>
      <c r="H14" s="10">
        <f>IF(D14="0/3","-",MIN('Run-Level bewertet'!S38:S40))</f>
        <v>0</v>
      </c>
      <c r="I14" s="10">
        <f>IF(D14="0/3","-",MIN('Run-Level bewertet'!T38:T40))</f>
        <v>1</v>
      </c>
      <c r="J14" s="9" t="str">
        <f t="shared" si="0"/>
        <v>3/3 · K0 T2 U0 A0 H1</v>
      </c>
    </row>
    <row r="15" spans="1:10">
      <c r="A15" s="9" t="s">
        <v>342</v>
      </c>
      <c r="B15" s="9" t="s">
        <v>16</v>
      </c>
      <c r="C15" s="9" t="s">
        <v>37</v>
      </c>
      <c r="D15" s="10" t="str">
        <f>COUNTIF('Run-Level bewertet'!O41:O43,1)&amp;"/3"</f>
        <v>3/3</v>
      </c>
      <c r="E15" s="10">
        <f>IF(D15="0/3","-",MIN('Run-Level bewertet'!P41:P43))</f>
        <v>0</v>
      </c>
      <c r="F15" s="10">
        <f>IF(D15="0/3","-",MIN('Run-Level bewertet'!Q41:Q43))</f>
        <v>2</v>
      </c>
      <c r="G15" s="10">
        <f>IF(D15="0/3","-",MIN('Run-Level bewertet'!R41:R43))</f>
        <v>0</v>
      </c>
      <c r="H15" s="10">
        <f>IF(D15="0/3","-",MIN('Run-Level bewertet'!S41:S43))</f>
        <v>0</v>
      </c>
      <c r="I15" s="10">
        <f>IF(D15="0/3","-",MIN('Run-Level bewertet'!T41:T43))</f>
        <v>1</v>
      </c>
      <c r="J15" s="9" t="str">
        <f t="shared" si="0"/>
        <v>3/3 · K0 T2 U0 A0 H1</v>
      </c>
    </row>
    <row r="16" spans="1:10">
      <c r="A16" s="9" t="s">
        <v>342</v>
      </c>
      <c r="B16" s="9" t="s">
        <v>16</v>
      </c>
      <c r="C16" s="9" t="s">
        <v>50</v>
      </c>
      <c r="D16" s="10" t="str">
        <f>COUNTIF('Run-Level bewertet'!O44:O46,1)&amp;"/3"</f>
        <v>3/3</v>
      </c>
      <c r="E16" s="10">
        <f>IF(D16="0/3","-",MIN('Run-Level bewertet'!P44:P46))</f>
        <v>0</v>
      </c>
      <c r="F16" s="10">
        <f>IF(D16="0/3","-",MIN('Run-Level bewertet'!Q44:Q46))</f>
        <v>2</v>
      </c>
      <c r="G16" s="10">
        <f>IF(D16="0/3","-",MIN('Run-Level bewertet'!R44:R46))</f>
        <v>0</v>
      </c>
      <c r="H16" s="10">
        <f>IF(D16="0/3","-",MIN('Run-Level bewertet'!S44:S46))</f>
        <v>0</v>
      </c>
      <c r="I16" s="10">
        <f>IF(D16="0/3","-",MIN('Run-Level bewertet'!T44:T46))</f>
        <v>1</v>
      </c>
      <c r="J16" s="9" t="str">
        <f t="shared" si="0"/>
        <v>3/3 · K0 T2 U0 A0 H1</v>
      </c>
    </row>
    <row r="17" spans="1:10">
      <c r="A17" s="9" t="s">
        <v>342</v>
      </c>
      <c r="B17" s="9" t="s">
        <v>63</v>
      </c>
      <c r="C17" s="9" t="s">
        <v>17</v>
      </c>
      <c r="D17" s="10" t="str">
        <f>COUNTIF('Run-Level bewertet'!O47:O49,1)&amp;"/3"</f>
        <v>3/3</v>
      </c>
      <c r="E17" s="10">
        <f>IF(D17="0/3","-",MIN('Run-Level bewertet'!P47:P49))</f>
        <v>0</v>
      </c>
      <c r="F17" s="10">
        <f>IF(D17="0/3","-",MIN('Run-Level bewertet'!Q47:Q49))</f>
        <v>2</v>
      </c>
      <c r="G17" s="10">
        <f>IF(D17="0/3","-",MIN('Run-Level bewertet'!R47:R49))</f>
        <v>0</v>
      </c>
      <c r="H17" s="10">
        <f>IF(D17="0/3","-",MIN('Run-Level bewertet'!S47:S49))</f>
        <v>0</v>
      </c>
      <c r="I17" s="10">
        <f>IF(D17="0/3","-",MIN('Run-Level bewertet'!T47:T49))</f>
        <v>1</v>
      </c>
      <c r="J17" s="9" t="str">
        <f t="shared" si="0"/>
        <v>3/3 · K0 T2 U0 A0 H1</v>
      </c>
    </row>
    <row r="18" spans="1:10">
      <c r="A18" s="9" t="s">
        <v>342</v>
      </c>
      <c r="B18" s="9" t="s">
        <v>63</v>
      </c>
      <c r="C18" s="9" t="s">
        <v>37</v>
      </c>
      <c r="D18" s="10" t="str">
        <f>COUNTIF('Run-Level bewertet'!O50:O52,1)&amp;"/3"</f>
        <v>3/3</v>
      </c>
      <c r="E18" s="10">
        <f>IF(D18="0/3","-",MIN('Run-Level bewertet'!P50:P52))</f>
        <v>0</v>
      </c>
      <c r="F18" s="10">
        <f>IF(D18="0/3","-",MIN('Run-Level bewertet'!Q50:Q52))</f>
        <v>2</v>
      </c>
      <c r="G18" s="10">
        <f>IF(D18="0/3","-",MIN('Run-Level bewertet'!R50:R52))</f>
        <v>0</v>
      </c>
      <c r="H18" s="10">
        <f>IF(D18="0/3","-",MIN('Run-Level bewertet'!S50:S52))</f>
        <v>0</v>
      </c>
      <c r="I18" s="10">
        <f>IF(D18="0/3","-",MIN('Run-Level bewertet'!T50:T52))</f>
        <v>1</v>
      </c>
      <c r="J18" s="9" t="str">
        <f t="shared" si="0"/>
        <v>3/3 · K0 T2 U0 A0 H1</v>
      </c>
    </row>
    <row r="19" spans="1:10">
      <c r="A19" s="9" t="s">
        <v>342</v>
      </c>
      <c r="B19" s="9" t="s">
        <v>63</v>
      </c>
      <c r="C19" s="9" t="s">
        <v>50</v>
      </c>
      <c r="D19" s="10" t="str">
        <f>COUNTIF('Run-Level bewertet'!O53:O55,1)&amp;"/3"</f>
        <v>3/3</v>
      </c>
      <c r="E19" s="10">
        <f>IF(D19="0/3","-",MIN('Run-Level bewertet'!P53:P55))</f>
        <v>0</v>
      </c>
      <c r="F19" s="10">
        <f>IF(D19="0/3","-",MIN('Run-Level bewertet'!Q53:Q55))</f>
        <v>2</v>
      </c>
      <c r="G19" s="10">
        <f>IF(D19="0/3","-",MIN('Run-Level bewertet'!R53:R55))</f>
        <v>0</v>
      </c>
      <c r="H19" s="10">
        <f>IF(D19="0/3","-",MIN('Run-Level bewertet'!S53:S55))</f>
        <v>0</v>
      </c>
      <c r="I19" s="10">
        <f>IF(D19="0/3","-",MIN('Run-Level bewertet'!T53:T55))</f>
        <v>1</v>
      </c>
      <c r="J19" s="9" t="str">
        <f t="shared" si="0"/>
        <v>3/3 · K0 T2 U0 A0 H1</v>
      </c>
    </row>
    <row r="20" spans="1:10">
      <c r="A20" s="9" t="s">
        <v>343</v>
      </c>
      <c r="B20" s="9" t="s">
        <v>16</v>
      </c>
      <c r="C20" s="9" t="s">
        <v>17</v>
      </c>
      <c r="D20" s="10" t="str">
        <f>COUNTIF('Run-Level bewertet'!O56:O58,1)&amp;"/3"</f>
        <v>3/3</v>
      </c>
      <c r="E20" s="10">
        <f>IF(D20="0/3","-",MIN('Run-Level bewertet'!P56:P58))</f>
        <v>0</v>
      </c>
      <c r="F20" s="10">
        <f>IF(D20="0/3","-",MIN('Run-Level bewertet'!Q56:Q58))</f>
        <v>2</v>
      </c>
      <c r="G20" s="10">
        <f>IF(D20="0/3","-",MIN('Run-Level bewertet'!R56:R58))</f>
        <v>0</v>
      </c>
      <c r="H20" s="10">
        <f>IF(D20="0/3","-",MIN('Run-Level bewertet'!S56:S58))</f>
        <v>0</v>
      </c>
      <c r="I20" s="10">
        <f>IF(D20="0/3","-",MIN('Run-Level bewertet'!T56:T58))</f>
        <v>1</v>
      </c>
      <c r="J20" s="9" t="str">
        <f t="shared" si="0"/>
        <v>3/3 · K0 T2 U0 A0 H1</v>
      </c>
    </row>
    <row r="21" spans="1:10">
      <c r="A21" s="9" t="s">
        <v>343</v>
      </c>
      <c r="B21" s="9" t="s">
        <v>16</v>
      </c>
      <c r="C21" s="9" t="s">
        <v>37</v>
      </c>
      <c r="D21" s="10" t="str">
        <f>COUNTIF('Run-Level bewertet'!O59:O61,1)&amp;"/3"</f>
        <v>3/3</v>
      </c>
      <c r="E21" s="10">
        <f>IF(D21="0/3","-",MIN('Run-Level bewertet'!P59:P61))</f>
        <v>0</v>
      </c>
      <c r="F21" s="10">
        <f>IF(D21="0/3","-",MIN('Run-Level bewertet'!Q59:Q61))</f>
        <v>2</v>
      </c>
      <c r="G21" s="10">
        <f>IF(D21="0/3","-",MIN('Run-Level bewertet'!R59:R61))</f>
        <v>0</v>
      </c>
      <c r="H21" s="10">
        <f>IF(D21="0/3","-",MIN('Run-Level bewertet'!S59:S61))</f>
        <v>0</v>
      </c>
      <c r="I21" s="10">
        <f>IF(D21="0/3","-",MIN('Run-Level bewertet'!T59:T61))</f>
        <v>1</v>
      </c>
      <c r="J21" s="9" t="str">
        <f t="shared" si="0"/>
        <v>3/3 · K0 T2 U0 A0 H1</v>
      </c>
    </row>
    <row r="22" spans="1:10">
      <c r="A22" s="9" t="s">
        <v>343</v>
      </c>
      <c r="B22" s="9" t="s">
        <v>16</v>
      </c>
      <c r="C22" s="9" t="s">
        <v>50</v>
      </c>
      <c r="D22" s="10" t="str">
        <f>COUNTIF('Run-Level bewertet'!O62:O64,1)&amp;"/3"</f>
        <v>3/3</v>
      </c>
      <c r="E22" s="10">
        <f>IF(D22="0/3","-",MIN('Run-Level bewertet'!P62:P64))</f>
        <v>0</v>
      </c>
      <c r="F22" s="10">
        <f>IF(D22="0/3","-",MIN('Run-Level bewertet'!Q62:Q64))</f>
        <v>2</v>
      </c>
      <c r="G22" s="10">
        <f>IF(D22="0/3","-",MIN('Run-Level bewertet'!R62:R64))</f>
        <v>0</v>
      </c>
      <c r="H22" s="10">
        <f>IF(D22="0/3","-",MIN('Run-Level bewertet'!S62:S64))</f>
        <v>0</v>
      </c>
      <c r="I22" s="10">
        <f>IF(D22="0/3","-",MIN('Run-Level bewertet'!T62:T64))</f>
        <v>1</v>
      </c>
      <c r="J22" s="9" t="str">
        <f t="shared" si="0"/>
        <v>3/3 · K0 T2 U0 A0 H1</v>
      </c>
    </row>
    <row r="23" spans="1:10">
      <c r="A23" s="9" t="s">
        <v>343</v>
      </c>
      <c r="B23" s="9" t="s">
        <v>63</v>
      </c>
      <c r="C23" s="9" t="s">
        <v>17</v>
      </c>
      <c r="D23" s="10" t="str">
        <f>COUNTIF('Run-Level bewertet'!O65:O67,1)&amp;"/3"</f>
        <v>3/3</v>
      </c>
      <c r="E23" s="10">
        <f>IF(D23="0/3","-",MIN('Run-Level bewertet'!P65:P67))</f>
        <v>0</v>
      </c>
      <c r="F23" s="10">
        <f>IF(D23="0/3","-",MIN('Run-Level bewertet'!Q65:Q67))</f>
        <v>2</v>
      </c>
      <c r="G23" s="10">
        <f>IF(D23="0/3","-",MIN('Run-Level bewertet'!R65:R67))</f>
        <v>0</v>
      </c>
      <c r="H23" s="10">
        <f>IF(D23="0/3","-",MIN('Run-Level bewertet'!S65:S67))</f>
        <v>0</v>
      </c>
      <c r="I23" s="10">
        <f>IF(D23="0/3","-",MIN('Run-Level bewertet'!T65:T67))</f>
        <v>1</v>
      </c>
      <c r="J23" s="9" t="str">
        <f t="shared" si="0"/>
        <v>3/3 · K0 T2 U0 A0 H1</v>
      </c>
    </row>
    <row r="24" spans="1:10">
      <c r="A24" s="9" t="s">
        <v>343</v>
      </c>
      <c r="B24" s="9" t="s">
        <v>63</v>
      </c>
      <c r="C24" s="9" t="s">
        <v>37</v>
      </c>
      <c r="D24" s="10" t="str">
        <f>COUNTIF('Run-Level bewertet'!O68:O70,1)&amp;"/3"</f>
        <v>3/3</v>
      </c>
      <c r="E24" s="10">
        <f>IF(D24="0/3","-",MIN('Run-Level bewertet'!P68:P70))</f>
        <v>0</v>
      </c>
      <c r="F24" s="10">
        <f>IF(D24="0/3","-",MIN('Run-Level bewertet'!Q68:Q70))</f>
        <v>2</v>
      </c>
      <c r="G24" s="10">
        <f>IF(D24="0/3","-",MIN('Run-Level bewertet'!R68:R70))</f>
        <v>0</v>
      </c>
      <c r="H24" s="10">
        <f>IF(D24="0/3","-",MIN('Run-Level bewertet'!S68:S70))</f>
        <v>0</v>
      </c>
      <c r="I24" s="10">
        <f>IF(D24="0/3","-",MIN('Run-Level bewertet'!T68:T70))</f>
        <v>1</v>
      </c>
      <c r="J24" s="9" t="str">
        <f t="shared" si="0"/>
        <v>3/3 · K0 T2 U0 A0 H1</v>
      </c>
    </row>
    <row r="25" spans="1:10">
      <c r="A25" s="9" t="s">
        <v>343</v>
      </c>
      <c r="B25" s="9" t="s">
        <v>63</v>
      </c>
      <c r="C25" s="9" t="s">
        <v>50</v>
      </c>
      <c r="D25" s="10" t="str">
        <f>COUNTIF('Run-Level bewertet'!O71:O73,1)&amp;"/3"</f>
        <v>3/3</v>
      </c>
      <c r="E25" s="10">
        <f>IF(D25="0/3","-",MIN('Run-Level bewertet'!P71:P73))</f>
        <v>0</v>
      </c>
      <c r="F25" s="10">
        <f>IF(D25="0/3","-",MIN('Run-Level bewertet'!Q71:Q73))</f>
        <v>2</v>
      </c>
      <c r="G25" s="10">
        <f>IF(D25="0/3","-",MIN('Run-Level bewertet'!R71:R73))</f>
        <v>0</v>
      </c>
      <c r="H25" s="10">
        <f>IF(D25="0/3","-",MIN('Run-Level bewertet'!S71:S73))</f>
        <v>0</v>
      </c>
      <c r="I25" s="10">
        <f>IF(D25="0/3","-",MIN('Run-Level bewertet'!T71:T73))</f>
        <v>1</v>
      </c>
      <c r="J25" s="9" t="str">
        <f t="shared" si="0"/>
        <v>3/3 · K0 T2 U0 A0 H1</v>
      </c>
    </row>
    <row r="27" spans="1:10" s="7" customFormat="1" ht="78.75" customHeight="1">
      <c r="A27" s="11" t="s">
        <v>347</v>
      </c>
      <c r="B27" s="11"/>
      <c r="C27" s="11"/>
      <c r="D27" s="11"/>
      <c r="E27" s="11"/>
      <c r="F27" s="11"/>
      <c r="G27" s="11"/>
      <c r="H27" s="11"/>
      <c r="I27" s="11"/>
      <c r="J27" s="11"/>
    </row>
    <row r="28" spans="1:10" s="7" customFormat="1" ht="360" customHeight="1">
      <c r="A28" s="13" t="s">
        <v>349</v>
      </c>
      <c r="B28" s="11"/>
      <c r="C28" s="11"/>
      <c r="D28" s="11"/>
      <c r="E28" s="11"/>
      <c r="F28" s="11"/>
      <c r="G28" s="11"/>
      <c r="H28" s="11"/>
      <c r="I28" s="11"/>
      <c r="J28" s="11"/>
    </row>
    <row r="29" spans="1:10" ht="265.5" customHeight="1">
      <c r="A29" s="12" t="s">
        <v>348</v>
      </c>
      <c r="B29" s="12"/>
      <c r="C29" s="12"/>
      <c r="D29" s="12"/>
      <c r="E29" s="12"/>
      <c r="F29" s="12"/>
      <c r="G29" s="12"/>
      <c r="H29" s="12"/>
      <c r="I29" s="12"/>
      <c r="J29" s="12"/>
    </row>
  </sheetData>
  <mergeCells count="3">
    <mergeCell ref="A27:J27"/>
    <mergeCell ref="A28:J28"/>
    <mergeCell ref="A29:J29"/>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Rohdaten</vt:lpstr>
      <vt:lpstr>Run-Level bewertet</vt:lpstr>
      <vt:lpstr>Aggregiert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Balkan, Utku</cp:lastModifiedBy>
  <dcterms:modified xsi:type="dcterms:W3CDTF">2026-09-21T18:20:10Z</dcterms:modified>
</cp:coreProperties>
</file>